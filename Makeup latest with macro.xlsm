
<file path=[Content_Types].xml><?xml version="1.0" encoding="utf-8"?>
<Types xmlns="http://schemas.openxmlformats.org/package/2006/content-types"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xcalcf="http://schemas.microsoft.com/office/spreadsheetml/2018/calcfeatures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xmlns:x="http://schemas.openxmlformats.org/spreadsheetml/2006/main" mc:Ignorable="x15 xr xr6 xr10 xr2">
  <x:fileVersion appName="xl" lastEdited="7" lowestEdited="6" rupBuild="11110" codeName="{D69CD684-D0C7-2943-3DEE-EAF2D3A0B700}"/>
  <x:workbookPr codeName="ThisWorkbook"/>
  <mc:AlternateContent xmlns:mc="http://schemas.openxmlformats.org/markup-compatibility/2006">
    <mc:Choice Requires="x15">
      <x15ac:absPath xmlns:x15ac="http://schemas.microsoft.com/office/spreadsheetml/2010/11/ac" url="/Users/miikkamakio/Downloads/"/>
    </mc:Choice>
  </mc:AlternateContent>
  <xr:revisionPtr revIDLastSave="0" documentId="13_ncr:1_{546B11CA-AC91-564A-B90D-27EE46B1B996}" xr6:coauthVersionLast="45" xr6:coauthVersionMax="45" xr10:uidLastSave="{00000000-0000-0000-0000-000000000000}"/>
  <x:bookViews>
    <x:workbookView xWindow="-60" yWindow="460" windowWidth="28800" windowHeight="16140" xr2:uid="{00000000-000D-0000-FFFF-FFFF00000000}"/>
  </x:bookViews>
  <x:sheets>
    <x:sheet name="Data" sheetId="1" r:id="rId1"/>
    <x:sheet name="HSL categorization" sheetId="4" r:id="rId2"/>
    <x:sheet name="Sheet2" sheetId="2" r:id="rId3"/>
    <x:sheet name="Lips" sheetId="3" r:id="rId4"/>
    <x:sheet name="Eyes" sheetId="6" r:id="rId5"/>
  </x:sheets>
  <x:definedNames>
    <x:definedName name="_xlnm._FilterDatabase" localSheetId="0" hidden="1">Data!$A$1:$G$362</x:definedName>
    <x:definedName name="Color_chart_by_hue" localSheetId="2">Sheet2!$A$48</x:definedName>
  </x:definedNames>
  <x:calcPr calcId="191029"/>
  <x:extLst>
    <x:ext xmlns:x15="http://schemas.microsoft.com/office/spreadsheetml/2010/11/main" uri="{140A7094-0E35-4892-8432-C4D2E57EDEB5}">
      <x15:workbookPr chartTrackingRefBase="1"/>
    </x:ext>
    <x: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x:ext>
  </x:extLst>
</x:workbook>
</file>

<file path=xl/calcChain.xml><?xml version="1.0" encoding="utf-8"?>
<calcChain xmlns="http://schemas.openxmlformats.org/spreadsheetml/2006/main">
  <c r="N24" i="1" l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" i="1"/>
</calcChain>
</file>

<file path=xl/sharedStrings.xml><?xml version="1.0" encoding="utf-8"?>
<sst xmlns="http://schemas.openxmlformats.org/spreadsheetml/2006/main" count="4349" uniqueCount="2251">
  <si>
    <t># sku_id</t>
  </si>
  <si>
    <t xml:space="preserve"> barcode</t>
  </si>
  <si>
    <t xml:space="preserve"> name_cn</t>
  </si>
  <si>
    <t xml:space="preserve"> name_en</t>
  </si>
  <si>
    <t xml:space="preserve"> path</t>
  </si>
  <si>
    <t>url</t>
  </si>
  <si>
    <t>20437</t>
  </si>
  <si>
    <t xml:space="preserve"> 3348901157148</t>
  </si>
  <si>
    <t xml:space="preserve"> 迪奥腮红</t>
  </si>
  <si>
    <t xml:space="preserve"> DIOR BLUSH VIBRANT COLOUR POWDER BLUSH</t>
  </si>
  <si>
    <t>https://ssl3.sephorastatic.cn/products/2/7/3/8/3/0/1_n_05467_640x640.jpg</t>
  </si>
  <si>
    <t>https://www.sephora.cn/product/7390.html?sku=20437</t>
  </si>
  <si>
    <t>20438</t>
  </si>
  <si>
    <t xml:space="preserve"> 3348901157056</t>
  </si>
  <si>
    <t>https://ssl3.sephorastatic.cn/products/2/7/3/8/3/1/1_n_05467_640x640.jpg</t>
    <phoneticPr fontId="3" type="noConversion"/>
  </si>
  <si>
    <t>https://www.sephora.cn/product/7390.html?sku=20438</t>
  </si>
  <si>
    <t>20439</t>
  </si>
  <si>
    <t xml:space="preserve"> 3348901163316</t>
  </si>
  <si>
    <t>https://ssl3.sephorastatic.cn/products/2/7/3/8/4/9/1_n_05467_640x640.jpg</t>
  </si>
  <si>
    <t>https://www.sephora.cn/product/7390.html?sku=20439</t>
  </si>
  <si>
    <t>20440</t>
  </si>
  <si>
    <t xml:space="preserve"> 3348901156981</t>
  </si>
  <si>
    <t>https://ssl3.sephorastatic.cn/products/2/7/3/8/5/0/1_n_05467_640x640.jpg</t>
  </si>
  <si>
    <t>https://www.sephora.cn/product/7390.html?sku=20440</t>
  </si>
  <si>
    <t>20441</t>
  </si>
  <si>
    <t xml:space="preserve"> 3348901167758</t>
  </si>
  <si>
    <t>https://ssl3.sephorastatic.cn/products/2/7/3/8/5/1/1_n_05467_640x640.jpg</t>
  </si>
  <si>
    <t>https://www.sephora.cn/product/7390.html?sku=20441</t>
  </si>
  <si>
    <t>20442</t>
  </si>
  <si>
    <t xml:space="preserve"> 3348901157094</t>
  </si>
  <si>
    <t>https://ssl3.sephorastatic.cn/products/2/7/3/8/5/5/1_n_05467_640x640.jpg</t>
  </si>
  <si>
    <t>https://www.sephora.cn/product/7390.html?sku=20442</t>
  </si>
  <si>
    <t>20447</t>
  </si>
  <si>
    <t xml:space="preserve"> 3348901157179</t>
  </si>
  <si>
    <t>https://ssl3.sephorastatic.cn/products/2/7/6/6/7/1/1_n_05467_640x640.jpg</t>
  </si>
  <si>
    <t>https://www.sephora.cn/product/7390.html?sku=20447</t>
  </si>
  <si>
    <t>20449</t>
  </si>
  <si>
    <t xml:space="preserve"> 3348901157063</t>
  </si>
  <si>
    <t>https://ssl3.sephorastatic.cn/products/2/7/6/6/7/3/1_n_05467_640x640.jpg</t>
  </si>
  <si>
    <t>https://www.sephora.cn/product/7390.html?sku=20449</t>
  </si>
  <si>
    <t>23001</t>
  </si>
  <si>
    <t xml:space="preserve"> 3348900806931</t>
  </si>
  <si>
    <t xml:space="preserve"> 克丽丝汀迪奥魅惑丰唇蜜 </t>
  </si>
  <si>
    <t xml:space="preserve"> DIOR ADDICT LIP MAXIMIZER </t>
  </si>
  <si>
    <t>https://ssl3.sephorastatic.cn/products/1/5/9/7/8/9/1_n_06178_640x640.jpg</t>
  </si>
  <si>
    <t>https://www.sephora.cn/product/3651.html?sku=23001</t>
  </si>
  <si>
    <t>23110</t>
  </si>
  <si>
    <t xml:space="preserve"> 3348900898844</t>
  </si>
  <si>
    <t xml:space="preserve"> 克丽丝汀迪奥魅惑润唇膏 </t>
  </si>
  <si>
    <t xml:space="preserve"> DIOR ADDICT LIP GLOW </t>
  </si>
  <si>
    <t>https://ssl3.sephorastatic.cn/products/1/8/8/6/6/0/1_n_05470_640x640.jpg</t>
  </si>
  <si>
    <t>https://www.sephora.cn/product/3420.html?sku=23110</t>
  </si>
  <si>
    <t>23893</t>
  </si>
  <si>
    <t xml:space="preserve"> 3348900286177</t>
  </si>
  <si>
    <t xml:space="preserve"> 克丽丝汀迪奥精致液态眼线笔 </t>
  </si>
  <si>
    <t xml:space="preserve"> DIORLINER </t>
  </si>
  <si>
    <t>https://ssl3.sephorastatic.cn/products/3/1/1/7/0/1_n_06812_640x640.jpg</t>
  </si>
  <si>
    <t>https://www.sephora.cn/product/1915.html?sku=23893</t>
  </si>
  <si>
    <t>23894</t>
  </si>
  <si>
    <t xml:space="preserve"> 3348900286184</t>
  </si>
  <si>
    <t>https://ssl3.sephorastatic.cn/products/3/1/1/7/2/1_n_05470_640x640.jpg</t>
  </si>
  <si>
    <t>https://www.sephora.cn/product/1915.html?sku=23894</t>
  </si>
  <si>
    <t>35896</t>
  </si>
  <si>
    <t xml:space="preserve"> 3348900649705</t>
  </si>
  <si>
    <t xml:space="preserve"> 克丽丝汀迪奥全新防水眼线笔</t>
  </si>
  <si>
    <t xml:space="preserve"> CHRISTIAN DIOR EYELINER WATERPROOF LONG-WEAR WATERPROOF EYELINER PENCIL</t>
  </si>
  <si>
    <t>https://ssl3.sephorastatic.cn/products/1/2/9/4/5/5/1_n_06812_640x640.jpg</t>
  </si>
  <si>
    <t>https://www.sephora.cn/product/521042.html?sku=35896</t>
  </si>
  <si>
    <t>45234</t>
  </si>
  <si>
    <t xml:space="preserve"> 3348900923799</t>
  </si>
  <si>
    <t xml:space="preserve"> 克丽丝汀迪奥眉笔</t>
  </si>
  <si>
    <t xml:space="preserve"> DIOR DIORSHOW BROW STYLER </t>
  </si>
  <si>
    <t>https://ssl3.sephorastatic.cn/products/1/9/5/8/7/8/1_n_06812_640x640.jpg</t>
  </si>
  <si>
    <t>https://www.sephora.cn/product/173561.html?sku=45234</t>
  </si>
  <si>
    <t>204030</t>
  </si>
  <si>
    <t xml:space="preserve"> 3348901204750</t>
  </si>
  <si>
    <t xml:space="preserve"> 迪奥魅惑眼线液</t>
  </si>
  <si>
    <t xml:space="preserve"> DIOR ADDICT IT-LINE</t>
  </si>
  <si>
    <t>https://ssl3.sephorastatic.cn/products/2/9/1/3/1/5/1_n_05480_640x640.jpg</t>
  </si>
  <si>
    <t>https://www.sephora.cn/product/217517.html?sku=204030</t>
  </si>
  <si>
    <t>230551</t>
  </si>
  <si>
    <t xml:space="preserve"> 3348901157186</t>
  </si>
  <si>
    <t>https://ssl3.sephorastatic.cn/products/2/7/3/8/4/8/1_n_07657_640x640.jpg</t>
  </si>
  <si>
    <t>https://www.sephora.cn/product/7390.html?sku=230551</t>
  </si>
  <si>
    <t>230552</t>
  </si>
  <si>
    <t xml:space="preserve"> 3348901157001</t>
  </si>
  <si>
    <t>https://ssl3.sephorastatic.cn/products/2/7/3/8/5/2/1_n_05467_640x640.jpg</t>
  </si>
  <si>
    <t>https://www.sephora.cn/product/7390.html?sku=230552</t>
  </si>
  <si>
    <t>230553</t>
  </si>
  <si>
    <t xml:space="preserve"> 3348901169943</t>
  </si>
  <si>
    <t>https://ssl3.sephorastatic.cn/products/2/7/3/8/5/6/1_n_05467_640x640.jpg</t>
  </si>
  <si>
    <t>https://www.sephora.cn/product/7390.html?sku=230553</t>
  </si>
  <si>
    <t>230555</t>
  </si>
  <si>
    <t xml:space="preserve"> 3348901157117</t>
  </si>
  <si>
    <t>https://ssl3.sephorastatic.cn/products/2/9/9/1/3/3/1_n_05480_640x640.jpg</t>
  </si>
  <si>
    <t>https://www.sephora.cn/product/7390.html?sku=230555</t>
  </si>
  <si>
    <t>230562</t>
  </si>
  <si>
    <t xml:space="preserve"> 3348901157100</t>
  </si>
  <si>
    <t>https://ssl3.sephorastatic.cn/products/3/0/9/8/2/6/1_n_05486_640x640.jpg</t>
  </si>
  <si>
    <t>https://www.sephora.cn/product/7390.html?sku=230562</t>
  </si>
  <si>
    <t>267046</t>
  </si>
  <si>
    <t xml:space="preserve"> 3348901198929</t>
  </si>
  <si>
    <t xml:space="preserve"> 迪奥惊艳艺术眼线液</t>
  </si>
  <si>
    <t xml:space="preserve"> DIOR SHOW ART PEN</t>
  </si>
  <si>
    <t>https://ssl3.sephorastatic.cn/products/3/1/1/8/4/5/1_n_06891_640x640.jpg</t>
  </si>
  <si>
    <t>https://www.sephora.cn/product/293520.html?sku=267046</t>
  </si>
  <si>
    <t>328504</t>
  </si>
  <si>
    <t xml:space="preserve"> 3348901199520</t>
  </si>
  <si>
    <t>https://ssl3.sephorastatic.cn/products/2/8/6/8/7/9/1_n_06178_640x640.jpg</t>
  </si>
  <si>
    <t>https://www.sephora.cn/product/3420.html?sku=328504</t>
  </si>
  <si>
    <t>397602</t>
  </si>
  <si>
    <t xml:space="preserve"> 3348901260145</t>
  </si>
  <si>
    <t xml:space="preserve"> 迪奥魅惑液态唇膏</t>
  </si>
  <si>
    <t xml:space="preserve"> DIOR ADDICT FLUID STICK</t>
  </si>
  <si>
    <t>https://ssl3.sephorastatic.cn/products/3/2/0/5/9/5/1_n_05486_640x640.jpg</t>
  </si>
  <si>
    <t>https://www.sephora.cn/product/246001.html?sku=397602</t>
  </si>
  <si>
    <t>411893</t>
  </si>
  <si>
    <t xml:space="preserve"> 3348901223430</t>
  </si>
  <si>
    <t xml:space="preserve"> 迪奥全新烈艳蓝金美唇膏</t>
  </si>
  <si>
    <t xml:space="preserve"> DIOR ROUGE DIOR BAUME</t>
  </si>
  <si>
    <t>https://ssl3.sephorastatic.cn/products/3/0/4/4/2/7/1_n_05496_640x640.jpg</t>
  </si>
  <si>
    <t>https://www.sephora.cn/product/450577.html?sku=411893</t>
  </si>
  <si>
    <t>411894</t>
  </si>
  <si>
    <t xml:space="preserve"> 3348901223386</t>
  </si>
  <si>
    <t>https://ssl3.sephorastatic.cn/products/3/0/4/4/2/8/1_n_05496_640x640.jpg</t>
  </si>
  <si>
    <t>https://www.sephora.cn/product/450577.html?sku=411894</t>
  </si>
  <si>
    <t>411895</t>
  </si>
  <si>
    <t xml:space="preserve"> 3348901223393</t>
  </si>
  <si>
    <t>https://ssl3.sephorastatic.cn/products/3/0/4/4/2/9/1_n_05496_640x640.jpg</t>
  </si>
  <si>
    <t>https://www.sephora.cn/product/450577.html?sku=411895</t>
  </si>
  <si>
    <t>411896</t>
  </si>
  <si>
    <t xml:space="preserve"> 3348901231237</t>
  </si>
  <si>
    <t>https://ssl3.sephorastatic.cn/products/3/0/4/4/3/0/1_n_07047_640x640.jpg</t>
  </si>
  <si>
    <t>https://www.sephora.cn/product/450577.html?sku=411896</t>
  </si>
  <si>
    <t>411897</t>
  </si>
  <si>
    <t xml:space="preserve"> 3348901223409</t>
  </si>
  <si>
    <t>https://ssl3.sephorastatic.cn/products/3/0/4/4/3/1/1_n_05496_640x640.jpg</t>
  </si>
  <si>
    <t>https://www.sephora.cn/product/450577.html?sku=411897</t>
  </si>
  <si>
    <t>411898</t>
  </si>
  <si>
    <t xml:space="preserve"> 3348901223461</t>
  </si>
  <si>
    <t>https://ssl3.sephorastatic.cn/products/3/0/4/4/3/2/1_n_05496_640x640.jpg</t>
  </si>
  <si>
    <t>https://www.sephora.cn/product/450577.html?sku=411898</t>
  </si>
  <si>
    <t>411899</t>
  </si>
  <si>
    <t xml:space="preserve"> 3348901223317</t>
  </si>
  <si>
    <t>https://ssl3.sephorastatic.cn/products/3/0/4/4/3/4/1_n_05496_640x640.jpg</t>
  </si>
  <si>
    <t>https://www.sephora.cn/product/450577.html?sku=411899</t>
  </si>
  <si>
    <t>411900</t>
  </si>
  <si>
    <t xml:space="preserve"> 3348901223454</t>
  </si>
  <si>
    <t>https://ssl3.sephorastatic.cn/products/3/0/4/4/3/5/1_n_05496_640x640.jpg</t>
  </si>
  <si>
    <t>https://www.sephora.cn/product/450577.html?sku=411900</t>
  </si>
  <si>
    <t>411901</t>
  </si>
  <si>
    <t xml:space="preserve"> 3348901223324</t>
  </si>
  <si>
    <t>https://ssl3.sephorastatic.cn/products/3/0/4/4/3/6/1_n_05496_640x640.jpg</t>
  </si>
  <si>
    <t>https://www.sephora.cn/product/450577.html?sku=411901</t>
  </si>
  <si>
    <t>411902</t>
  </si>
  <si>
    <t xml:space="preserve"> 3348901223355</t>
  </si>
  <si>
    <t>https://ssl3.sephorastatic.cn/products/3/0/4/4/3/7/1_n_05496_640x640.jpg</t>
  </si>
  <si>
    <t>https://www.sephora.cn/product/450577.html?sku=411902</t>
  </si>
  <si>
    <t>411903</t>
  </si>
  <si>
    <t xml:space="preserve"> 3348901223348</t>
  </si>
  <si>
    <t>https://ssl3.sephorastatic.cn/products/3/0/4/4/3/8/1_n_05496_640x640.jpg</t>
  </si>
  <si>
    <t>https://www.sephora.cn/product/450577.html?sku=411903</t>
  </si>
  <si>
    <t>411905</t>
  </si>
  <si>
    <t xml:space="preserve"> 3348901223423</t>
  </si>
  <si>
    <t>https://ssl3.sephorastatic.cn/products/3/1/0/5/7/6/1_n_05486_640x640.jpg</t>
  </si>
  <si>
    <t>https://www.sephora.cn/product/450577.html?sku=411905</t>
  </si>
  <si>
    <t>411906</t>
  </si>
  <si>
    <t xml:space="preserve"> 3348901223416</t>
  </si>
  <si>
    <t>https://ssl3.sephorastatic.cn/products/3/1/0/5/7/7/1_n_05486_640x640.jpg</t>
  </si>
  <si>
    <t>https://www.sephora.cn/product/450577.html?sku=411906</t>
  </si>
  <si>
    <t>411907</t>
  </si>
  <si>
    <t xml:space="preserve"> 3348901231251</t>
  </si>
  <si>
    <t>https://ssl3.sephorastatic.cn/products/3/1/4/6/7/1/1_n_05486_640x640.jpg</t>
  </si>
  <si>
    <t>https://www.sephora.cn/product/450577.html?sku=411907</t>
  </si>
  <si>
    <t>501004</t>
  </si>
  <si>
    <t xml:space="preserve"> 3348901276245</t>
  </si>
  <si>
    <t xml:space="preserve"> 克丽丝汀迪奥金艳幻彩唇膏-时尚哑光</t>
  </si>
  <si>
    <t xml:space="preserve"> DIOR DIORIFIC MAT </t>
  </si>
  <si>
    <t>https://ssl3.sephorastatic.cn/products/3/4/0/8/8/1/1_n_06817_640x640.jpg</t>
  </si>
  <si>
    <t>https://www.sephora.cn/product/502012.html?sku=501004</t>
  </si>
  <si>
    <t>501006</t>
  </si>
  <si>
    <t xml:space="preserve"> 3348901276252</t>
  </si>
  <si>
    <t>https://ssl3.sephorastatic.cn/products/3/4/0/8/8/3/1_n_07130_640x640.jpg</t>
  </si>
  <si>
    <t>https://www.sephora.cn/product/502012.html?sku=501006</t>
  </si>
  <si>
    <t>501007</t>
  </si>
  <si>
    <t xml:space="preserve"> 3348901276238</t>
  </si>
  <si>
    <t>https://ssl3.sephorastatic.cn/products/3/4/0/8/8/4/1_n_06817_640x640.jpg</t>
  </si>
  <si>
    <t>https://www.sephora.cn/product/502012.html?sku=501007</t>
  </si>
  <si>
    <t>501008</t>
  </si>
  <si>
    <t xml:space="preserve"> 3348901276221</t>
  </si>
  <si>
    <t>https://ssl3.sephorastatic.cn/products/3/4/0/8/8/5/1_n_07047_640x640.jpg</t>
  </si>
  <si>
    <t>https://www.sephora.cn/product/502012.html?sku=501008</t>
  </si>
  <si>
    <t>517525</t>
  </si>
  <si>
    <t xml:space="preserve"> 3348901253130</t>
  </si>
  <si>
    <t xml:space="preserve"> 克丽丝汀迪奥塑形眉笔</t>
  </si>
  <si>
    <t xml:space="preserve"> DIOR SOURCILS EYEBROW PENCIL </t>
  </si>
  <si>
    <t>https://ssl3.sephorastatic.cn/products/3/3/0/1/5/5/1_n_06817_640x640.jpg</t>
  </si>
  <si>
    <t>https://www.sephora.cn/product/1853.html?sku=517525</t>
  </si>
  <si>
    <t>517526</t>
  </si>
  <si>
    <t xml:space="preserve"> 3348901253147</t>
  </si>
  <si>
    <t>https://ssl3.sephorastatic.cn/products/3/3/0/1/5/6/1_n_06817_640x640.jpg</t>
  </si>
  <si>
    <t>https://www.sephora.cn/product/1853.html?sku=517526</t>
  </si>
  <si>
    <t>517527</t>
  </si>
  <si>
    <t xml:space="preserve"> 3348901253123</t>
  </si>
  <si>
    <t>https://ssl3.sephorastatic.cn/products/3/3/4/9/5/2/1_n_06891_640x640.jpg</t>
  </si>
  <si>
    <t>https://www.sephora.cn/product/1853.html?sku=517527</t>
  </si>
  <si>
    <t>538264</t>
  </si>
  <si>
    <t xml:space="preserve"> 3348901265423</t>
  </si>
  <si>
    <t xml:space="preserve"> 克丽丝汀迪奥魅惑唇膏 </t>
  </si>
  <si>
    <t xml:space="preserve"> DIOR ADDICT LIPSTICK </t>
  </si>
  <si>
    <t>https://ssl3.sephorastatic.cn/products/3/3/4/9/0/3/1_n_05492_640x640.jpg</t>
  </si>
  <si>
    <t>https://www.sephora.cn/product/543064.html?sku=538264</t>
  </si>
  <si>
    <t>538265</t>
  </si>
  <si>
    <t xml:space="preserve"> 3348901265072</t>
  </si>
  <si>
    <t>https://ssl3.sephorastatic.cn/products/3/3/4/9/0/7/1_n_05492_640x640.jpg</t>
  </si>
  <si>
    <t>https://www.sephora.cn/product/543064.html?sku=538265</t>
  </si>
  <si>
    <t>538266</t>
  </si>
  <si>
    <t xml:space="preserve"> 3348901270021</t>
  </si>
  <si>
    <t>https://ssl3.sephorastatic.cn/products/3/3/4/9/0/8/1_n_05492_640x640.jpg</t>
  </si>
  <si>
    <t>https://www.sephora.cn/product/543064.html?sku=538266</t>
  </si>
  <si>
    <t>538267</t>
  </si>
  <si>
    <t xml:space="preserve"> 3348901264679</t>
  </si>
  <si>
    <t>https://ssl3.sephorastatic.cn/products/3/3/4/9/1/0/1_n_05492_640x640.jpg</t>
  </si>
  <si>
    <t>https://www.sephora.cn/product/543064.html?sku=538267</t>
  </si>
  <si>
    <t>538268</t>
  </si>
  <si>
    <t xml:space="preserve"> 3348901264662</t>
  </si>
  <si>
    <t>https://ssl3.sephorastatic.cn/products/3/3/4/9/1/1/1_n_05492_640x640.jpg</t>
  </si>
  <si>
    <t>https://www.sephora.cn/product/543064.html?sku=538268</t>
  </si>
  <si>
    <t>538269</t>
  </si>
  <si>
    <t xml:space="preserve"> 3348901264655</t>
  </si>
  <si>
    <t>https://ssl3.sephorastatic.cn/products/3/3/4/9/1/2/1_n_05492_640x640.jpg</t>
  </si>
  <si>
    <t>https://www.sephora.cn/product/543064.html?sku=538269</t>
  </si>
  <si>
    <t>538270</t>
  </si>
  <si>
    <t xml:space="preserve"> 3348901274449</t>
  </si>
  <si>
    <t>https://ssl3.sephorastatic.cn/products/3/3/4/9/1/3/1_n_05492_640x640.jpg</t>
  </si>
  <si>
    <t>https://www.sephora.cn/product/543064.html?sku=538270</t>
  </si>
  <si>
    <t>538271</t>
  </si>
  <si>
    <t xml:space="preserve"> 3348901264860</t>
  </si>
  <si>
    <t>https://ssl3.sephorastatic.cn/products/3/3/4/9/1/4/1_n_05492_640x640.jpg</t>
  </si>
  <si>
    <t>https://www.sephora.cn/product/543064.html?sku=538271</t>
  </si>
  <si>
    <t>538272</t>
  </si>
  <si>
    <t xml:space="preserve"> 3348901265041</t>
  </si>
  <si>
    <t>https://ssl3.sephorastatic.cn/products/3/3/4/9/1/8/1_n_05492_640x640.jpg</t>
  </si>
  <si>
    <t>https://www.sephora.cn/product/543064.html?sku=538272</t>
  </si>
  <si>
    <t>538273</t>
  </si>
  <si>
    <t xml:space="preserve"> 3348901264778</t>
  </si>
  <si>
    <t>https://ssl3.sephorastatic.cn/products/3/3/4/9/1/9/1_n_05492_640x640.jpg</t>
  </si>
  <si>
    <t>https://www.sephora.cn/product/543064.html?sku=538273</t>
  </si>
  <si>
    <t>538274</t>
  </si>
  <si>
    <t xml:space="preserve"> 3348901265515</t>
  </si>
  <si>
    <t>https://ssl3.sephorastatic.cn/products/3/3/4/9/2/1/1_n_05492_640x640.jpg</t>
  </si>
  <si>
    <t>https://www.sephora.cn/product/543064.html?sku=538274</t>
  </si>
  <si>
    <t>538275</t>
  </si>
  <si>
    <t xml:space="preserve"> 3348901265003</t>
  </si>
  <si>
    <t>https://ssl3.sephorastatic.cn/products/3/3/4/9/2/5/1_n_06178_640x640.jpg</t>
  </si>
  <si>
    <t>https://www.sephora.cn/product/543064.html?sku=538275</t>
  </si>
  <si>
    <t>538276</t>
  </si>
  <si>
    <t xml:space="preserve"> 3348901264587</t>
  </si>
  <si>
    <t>https://ssl3.sephorastatic.cn/products/3/3/4/9/2/7/1_n_05492_640x640.jpg</t>
  </si>
  <si>
    <t>https://www.sephora.cn/product/543064.html?sku=538276</t>
  </si>
  <si>
    <t>538278</t>
  </si>
  <si>
    <t xml:space="preserve"> 3348901264570</t>
  </si>
  <si>
    <t>https://ssl3.sephorastatic.cn/products/3/3/4/9/3/2/1_n_05492_640x640.jpg</t>
  </si>
  <si>
    <t>https://www.sephora.cn/product/543064.html?sku=538278</t>
  </si>
  <si>
    <t>538279</t>
  </si>
  <si>
    <t xml:space="preserve"> 3348901264631</t>
  </si>
  <si>
    <t>https://ssl3.sephorastatic.cn/products/3/3/7/6/1/0/1_n_05496_640x640.jpg</t>
  </si>
  <si>
    <t>https://www.sephora.cn/product/543064.html?sku=538279</t>
  </si>
  <si>
    <t>538280</t>
  </si>
  <si>
    <t xml:space="preserve"> 3348901264648</t>
  </si>
  <si>
    <t>https://ssl3.sephorastatic.cn/products/3/3/7/6/1/1/1_n_05496_640x640.jpg</t>
  </si>
  <si>
    <t>https://www.sephora.cn/product/543064.html?sku=538280</t>
  </si>
  <si>
    <t>538281</t>
  </si>
  <si>
    <t xml:space="preserve"> 3348901264624</t>
  </si>
  <si>
    <t>https://ssl3.sephorastatic.cn/products/3/3/7/6/1/2/1_n_05496_640x640.jpg</t>
  </si>
  <si>
    <t>https://www.sephora.cn/product/543064.html?sku=538281</t>
  </si>
  <si>
    <t>538282</t>
  </si>
  <si>
    <t xml:space="preserve"> 3348901264815</t>
  </si>
  <si>
    <t>https://ssl3.sephorastatic.cn/products/3/3/7/6/1/3/1_n_05496_640x640.jpg</t>
  </si>
  <si>
    <t>https://www.sephora.cn/product/543064.html?sku=538282</t>
  </si>
  <si>
    <t>538283</t>
  </si>
  <si>
    <t xml:space="preserve"> 3348901264693</t>
  </si>
  <si>
    <t>https://ssl3.sephorastatic.cn/products/3/3/7/6/1/4/1_n_05496_640x640.jpg</t>
  </si>
  <si>
    <t>https://www.sephora.cn/product/543064.html?sku=538283</t>
  </si>
  <si>
    <t>538284</t>
  </si>
  <si>
    <t xml:space="preserve"> 3348901264747</t>
  </si>
  <si>
    <t>https://ssl3.sephorastatic.cn/products/3/3/7/6/1/7/1_n_05496_640x640.jpg</t>
  </si>
  <si>
    <t>https://www.sephora.cn/product/543064.html?sku=538284</t>
  </si>
  <si>
    <t>570516</t>
  </si>
  <si>
    <t xml:space="preserve"> 3348901252805</t>
  </si>
  <si>
    <t xml:space="preserve"> 克丽丝汀迪奥惊艳彩妆眼线笔</t>
  </si>
  <si>
    <t xml:space="preserve"> DIOR DIORSHOW PRO LINER WATERPROOF </t>
  </si>
  <si>
    <t>https://ssl3.sephorastatic.cn/products/3/2/0/6/1/6/1_n_05839_640x640.jpg</t>
  </si>
  <si>
    <t>https://www.sephora.cn/product/569095.html?sku=570516</t>
  </si>
  <si>
    <t>581593</t>
  </si>
  <si>
    <t xml:space="preserve"> 3348901252829</t>
  </si>
  <si>
    <t>https://ssl3.sephorastatic.cn/products/3/2/0/6/1/8/1_n_05486_640x640.jpg</t>
  </si>
  <si>
    <t>https://www.sephora.cn/product/569095.html?sku=581593</t>
  </si>
  <si>
    <t>581594</t>
  </si>
  <si>
    <t xml:space="preserve"> 3348901252843</t>
  </si>
  <si>
    <t>https://ssl3.sephorastatic.cn/products/3/2/0/6/2/0/1_n_05486_640x640.jpg</t>
  </si>
  <si>
    <t>https://www.sephora.cn/product/569095.html?sku=581594</t>
  </si>
  <si>
    <t>629001</t>
  </si>
  <si>
    <t xml:space="preserve"> 3348901255332</t>
  </si>
  <si>
    <t xml:space="preserve"> 克丽丝汀迪奥惊艳眉毛造型胶</t>
  </si>
  <si>
    <t xml:space="preserve"> CHRISTIAN DIOR DIORSHOW BROW STYLER GEL TRANSPARENT</t>
  </si>
  <si>
    <t>https://ssl3.sephorastatic.cn/products/3/2/0/6/1/1/1_n_05486_640x640.jpg</t>
  </si>
  <si>
    <t>https://www.sephora.cn/product/656504.html?sku=629001</t>
  </si>
  <si>
    <t>656002</t>
  </si>
  <si>
    <t xml:space="preserve"> 3348901260077</t>
  </si>
  <si>
    <t>https://ssl3.sephorastatic.cn/products/3/2/0/6/1/2/1_n_05486_640x640.jpg</t>
  </si>
  <si>
    <t>https://www.sephora.cn/product/656504.html?sku=656002</t>
  </si>
  <si>
    <t>661001</t>
  </si>
  <si>
    <t xml:space="preserve"> 3348901254793</t>
  </si>
  <si>
    <t xml:space="preserve"> 克丽丝汀迪奥修颜腮红笔</t>
  </si>
  <si>
    <t xml:space="preserve"> CHRISTIAN DIOR DIORBLUSH CHEEK STICK</t>
  </si>
  <si>
    <t>https://ssl3.sephorastatic.cn/products/3/3/0/1/6/2/1_n_05492_640x640.jpg</t>
  </si>
  <si>
    <t>https://www.sephora.cn/product/669508.html?sku=661001</t>
  </si>
  <si>
    <t>661002</t>
  </si>
  <si>
    <t xml:space="preserve"> 3348901254809</t>
  </si>
  <si>
    <t>https://ssl3.sephorastatic.cn/products/3/3/0/1/6/3/1_n_05492_640x640.jpg</t>
  </si>
  <si>
    <t>https://www.sephora.cn/product/669508.html?sku=661002</t>
  </si>
  <si>
    <t>661003</t>
  </si>
  <si>
    <t xml:space="preserve"> 3348901255813</t>
  </si>
  <si>
    <t>https://ssl3.sephorastatic.cn/products/3/3/0/1/6/4/1_n_05492_640x640.jpg</t>
  </si>
  <si>
    <t>https://www.sephora.cn/product/669508.html?sku=661003</t>
  </si>
  <si>
    <t>680098</t>
  </si>
  <si>
    <t xml:space="preserve"> 3348901305259</t>
  </si>
  <si>
    <t xml:space="preserve"> 克丽丝汀迪奥烈艳蓝金唇膏</t>
  </si>
  <si>
    <t xml:space="preserve"> DIOR ROUGE DIOR LIPSTICK</t>
  </si>
  <si>
    <t>https://ssl3.sephorastatic.cn/products/3/6/4/4/9/1/1_n_05502_640x640.jpg</t>
  </si>
  <si>
    <t>https://www.sephora.cn/product/755501.html?sku=680098</t>
  </si>
  <si>
    <t>680099</t>
  </si>
  <si>
    <t xml:space="preserve"> 3348901312387</t>
  </si>
  <si>
    <t>https://ssl3.sephorastatic.cn/products/3/6/4/4/9/2/1_n_05502_640x640.jpg</t>
  </si>
  <si>
    <t>https://www.sephora.cn/product/755501.html?sku=680099</t>
  </si>
  <si>
    <t>680100</t>
  </si>
  <si>
    <t xml:space="preserve"> 3348901312394</t>
  </si>
  <si>
    <t>https://ssl3.sephorastatic.cn/products/3/6/4/4/9/3/1_n_05502_640x640.jpg</t>
  </si>
  <si>
    <t>https://www.sephora.cn/product/755501.html?sku=680100</t>
  </si>
  <si>
    <t>680101</t>
  </si>
  <si>
    <t xml:space="preserve"> 3348901312479</t>
  </si>
  <si>
    <t>https://ssl3.sephorastatic.cn/products/3/6/4/4/9/4/1_n_06178_640x640.jpg</t>
  </si>
  <si>
    <t>https://www.sephora.cn/product/755501.html?sku=680101</t>
  </si>
  <si>
    <t>680102</t>
  </si>
  <si>
    <t xml:space="preserve"> 3348901305228</t>
  </si>
  <si>
    <t>https://ssl3.sephorastatic.cn/products/3/6/4/4/9/5/1_n_05502_640x640.jpg</t>
  </si>
  <si>
    <t>https://www.sephora.cn/product/755501.html?sku=680102</t>
  </si>
  <si>
    <t>680103</t>
  </si>
  <si>
    <t xml:space="preserve"> 3348901305334</t>
  </si>
  <si>
    <t>https://ssl3.sephorastatic.cn/products/3/6/4/4/9/6/1_n_05502_640x640.jpg</t>
  </si>
  <si>
    <t>https://www.sephora.cn/product/755501.html?sku=680103</t>
  </si>
  <si>
    <t>680104</t>
  </si>
  <si>
    <t xml:space="preserve"> 3348901313667</t>
  </si>
  <si>
    <t>https://ssl3.sephorastatic.cn/products/3/6/4/4/9/7/1_n_06178_640x640.jpg</t>
  </si>
  <si>
    <t>https://www.sephora.cn/product/755501.html?sku=680104</t>
  </si>
  <si>
    <t>680105</t>
  </si>
  <si>
    <t xml:space="preserve"> 3348901305440</t>
  </si>
  <si>
    <t>https://ssl3.sephorastatic.cn/products/3/6/4/4/9/8/1_n_05502_640x640.jpg</t>
  </si>
  <si>
    <t>https://www.sephora.cn/product/755501.html?sku=680105</t>
  </si>
  <si>
    <t>680106</t>
  </si>
  <si>
    <t xml:space="preserve"> 3348901305235</t>
  </si>
  <si>
    <t>https://ssl3.sephorastatic.cn/products/3/6/4/4/9/9/1_n_05502_640x640.jpg</t>
  </si>
  <si>
    <t>https://www.sephora.cn/product/755501.html?sku=680106</t>
  </si>
  <si>
    <t>680107</t>
  </si>
  <si>
    <t xml:space="preserve"> 3348901305426</t>
  </si>
  <si>
    <t>https://ssl3.sephorastatic.cn/products/3/6/4/5/0/0/1_n_05502_640x640.jpg</t>
  </si>
  <si>
    <t>https://www.sephora.cn/product/755501.html?sku=680107</t>
  </si>
  <si>
    <t>680108</t>
  </si>
  <si>
    <t xml:space="preserve"> 3348901305396</t>
  </si>
  <si>
    <t>https://ssl3.sephorastatic.cn/products/3/6/4/5/0/1/1_n_05502_640x640.jpg</t>
  </si>
  <si>
    <t>https://www.sephora.cn/product/755501.html?sku=680108</t>
  </si>
  <si>
    <t>680109</t>
  </si>
  <si>
    <t xml:space="preserve"> 3348901305198</t>
  </si>
  <si>
    <t>https://ssl3.sephorastatic.cn/products/3/6/4/5/0/2/1_n_05502_640x640.jpg</t>
  </si>
  <si>
    <t>https://www.sephora.cn/product/755501.html?sku=680109</t>
  </si>
  <si>
    <t>680110</t>
  </si>
  <si>
    <t xml:space="preserve"> 3348901305358</t>
  </si>
  <si>
    <t>https://ssl3.sephorastatic.cn/products/3/6/4/5/0/3/1_n_05502_640x640.jpg</t>
  </si>
  <si>
    <t>https://www.sephora.cn/product/755501.html?sku=680110</t>
  </si>
  <si>
    <t>680111</t>
  </si>
  <si>
    <t xml:space="preserve"> 3348901306591</t>
  </si>
  <si>
    <t>https://ssl3.sephorastatic.cn/products/3/6/4/5/0/4/1_n_05502_640x640.jpg</t>
  </si>
  <si>
    <t>https://www.sephora.cn/product/755501.html?sku=680111</t>
  </si>
  <si>
    <t>680112</t>
  </si>
  <si>
    <t xml:space="preserve"> 3348901305402</t>
  </si>
  <si>
    <t>https://ssl3.sephorastatic.cn/products/3/6/4/5/0/5/1_n_05502_640x640.jpg</t>
  </si>
  <si>
    <t>https://www.sephora.cn/product/755501.html?sku=680112</t>
  </si>
  <si>
    <t>680113</t>
  </si>
  <si>
    <t xml:space="preserve"> 3348901305488</t>
  </si>
  <si>
    <t>https://ssl3.sephorastatic.cn/products/3/6/4/5/0/6/1_n_05502_640x640.jpg</t>
  </si>
  <si>
    <t>https://www.sephora.cn/product/755501.html?sku=680113</t>
  </si>
  <si>
    <t>680114</t>
  </si>
  <si>
    <t xml:space="preserve"> 3348901305471</t>
  </si>
  <si>
    <t>https://ssl3.sephorastatic.cn/products/3/6/4/5/0/7/1_n_07229_640x640.jpg</t>
  </si>
  <si>
    <t>https://www.sephora.cn/product/755501.html?sku=680114</t>
  </si>
  <si>
    <t>680129</t>
  </si>
  <si>
    <t xml:space="preserve"> 3348901305327</t>
  </si>
  <si>
    <t>https://ssl3.sephorastatic.cn/products/3/6/4/6/3/9/1_n_05502_640x640.jpg</t>
  </si>
  <si>
    <t>https://www.sephora.cn/product/755501.html?sku=680129</t>
  </si>
  <si>
    <t>751501</t>
  </si>
  <si>
    <t xml:space="preserve"> 3348901293549</t>
  </si>
  <si>
    <t>https://ssl3.sephorastatic.cn/products/3/4/4/8/5/8/1_n_06178_640x640.jpg</t>
  </si>
  <si>
    <t>https://www.sephora.cn/product/3420.html?sku=751501</t>
  </si>
  <si>
    <t>751531</t>
  </si>
  <si>
    <t xml:space="preserve"> 3348901304399</t>
  </si>
  <si>
    <t>https://ssl3.sephorastatic.cn/products/3/6/3/0/3/7/1_n_07047_640x640.jpg</t>
  </si>
  <si>
    <t>https://www.sephora.cn/product/755501.html?sku=751531</t>
  </si>
  <si>
    <t>751546</t>
  </si>
  <si>
    <t xml:space="preserve"> 3348901305389</t>
  </si>
  <si>
    <t>https://ssl3.sephorastatic.cn/products/3/6/5/0/2/0/1_n_07049_640x640.jpg</t>
  </si>
  <si>
    <t>https://www.sephora.cn/product/755501.html?sku=751546</t>
  </si>
  <si>
    <t>751547</t>
  </si>
  <si>
    <t xml:space="preserve"> 3348901305143</t>
  </si>
  <si>
    <t>https://ssl3.sephorastatic.cn/products/3/6/5/0/2/3/1_n_06565_640x640.jpg</t>
  </si>
  <si>
    <t>https://www.sephora.cn/product/755501.html?sku=751547</t>
  </si>
  <si>
    <t>751571</t>
  </si>
  <si>
    <t xml:space="preserve"> 3348901304689</t>
  </si>
  <si>
    <t>https://ssl3.sephorastatic.cn/products/3/7/2/7/1/4/1_n_07130_640x640.jpg</t>
  </si>
  <si>
    <t>https://www.sephora.cn/product/755501.html?sku=751571</t>
  </si>
  <si>
    <t>752513</t>
  </si>
  <si>
    <t xml:space="preserve"> 3348901306348</t>
  </si>
  <si>
    <t>https://ssl3.sephorastatic.cn/products/3/6/3/0/4/7/1_n_06817_640x640.jpg</t>
  </si>
  <si>
    <t>https://www.sephora.cn/product/755501.html?sku=752513</t>
  </si>
  <si>
    <t>752514</t>
  </si>
  <si>
    <t xml:space="preserve"> 3348901306324</t>
  </si>
  <si>
    <t>https://ssl3.sephorastatic.cn/products/3/6/3/0/4/8/1_n_06817_640x640.jpg</t>
  </si>
  <si>
    <t>https://www.sephora.cn/product/755501.html?sku=752514</t>
  </si>
  <si>
    <t>752515</t>
  </si>
  <si>
    <t xml:space="preserve"> 3348901306317</t>
  </si>
  <si>
    <t>https://ssl3.sephorastatic.cn/products/3/6/3/0/4/9/1_n_06178_640x640.jpg</t>
  </si>
  <si>
    <t>https://www.sephora.cn/product/755501.html?sku=752515</t>
  </si>
  <si>
    <t>752516</t>
  </si>
  <si>
    <t xml:space="preserve"> 3348901306379</t>
  </si>
  <si>
    <t>https://ssl3.sephorastatic.cn/products/3/6/3/0/5/0/1_n_07047_640x640.jpg</t>
  </si>
  <si>
    <t>https://www.sephora.cn/product/755501.html?sku=752516</t>
  </si>
  <si>
    <t>752517</t>
  </si>
  <si>
    <t xml:space="preserve"> 3348901325844</t>
  </si>
  <si>
    <t>https://ssl3.sephorastatic.cn/products/3/6/3/0/5/1/1_n_07452_640x640.jpg</t>
  </si>
  <si>
    <t>https://www.sephora.cn/product/755501.html?sku=752517</t>
  </si>
  <si>
    <t>752518</t>
  </si>
  <si>
    <t xml:space="preserve"> 3348901325837</t>
  </si>
  <si>
    <t>https://ssl3.sephorastatic.cn/products/3/6/3/0/5/3/1_n_05502_640x640.jpg</t>
  </si>
  <si>
    <t>https://www.sephora.cn/product/755501.html?sku=752518</t>
  </si>
  <si>
    <t>752519</t>
  </si>
  <si>
    <t xml:space="preserve"> 3348901306386</t>
  </si>
  <si>
    <t>https://ssl3.sephorastatic.cn/products/3/6/3/0/5/5/1_n_07530_640x640.jpg</t>
  </si>
  <si>
    <t>https://www.sephora.cn/product/755501.html?sku=752519</t>
  </si>
  <si>
    <t>752523</t>
  </si>
  <si>
    <t xml:space="preserve"> 3348901325868</t>
  </si>
  <si>
    <t>https://ssl3.sephorastatic.cn/products/3/6/3/3/8/1/1_n_05502_640x640.jpg</t>
  </si>
  <si>
    <t>https://www.sephora.cn/product/755501.html?sku=752523</t>
  </si>
  <si>
    <t>752524</t>
  </si>
  <si>
    <t xml:space="preserve"> 3348901325851</t>
  </si>
  <si>
    <t>https://ssl3.sephorastatic.cn/products/3/6/3/3/8/2/1_n_07721_640x640.jpg</t>
  </si>
  <si>
    <t>https://www.sephora.cn/product/755501.html?sku=752524</t>
  </si>
  <si>
    <t>752527</t>
  </si>
  <si>
    <t xml:space="preserve"> 3348901306331</t>
  </si>
  <si>
    <t>https://ssl3.sephorastatic.cn/products/3/7/2/6/0/9/1_n_06891_640x640.jpg</t>
  </si>
  <si>
    <t>https://www.sephora.cn/product/755501.html?sku=752527</t>
  </si>
  <si>
    <t>752552</t>
  </si>
  <si>
    <t xml:space="preserve"> 3348901309790</t>
  </si>
  <si>
    <t>https://ssl3.sephorastatic.cn/products/3/7/3/0/4/4/1_n_06178_640x640.jpg</t>
  </si>
  <si>
    <t>https://www.sephora.cn/product/755501.html?sku=752552</t>
  </si>
  <si>
    <t>767012</t>
  </si>
  <si>
    <t xml:space="preserve"> 3348901264617</t>
  </si>
  <si>
    <t>https://ssl3.sephorastatic.cn/products/3/3/7/6/2/2/1_n_05496_640x640.jpg</t>
  </si>
  <si>
    <t>https://www.sephora.cn/product/543064.html?sku=767012</t>
  </si>
  <si>
    <t>767017</t>
  </si>
  <si>
    <t xml:space="preserve"> 3348901340748</t>
  </si>
  <si>
    <t xml:space="preserve"> 克丽丝汀迪奥魅惑釉唇膏 </t>
  </si>
  <si>
    <t xml:space="preserve"> DIOR ADDICT LACQUER STICK</t>
  </si>
  <si>
    <t>https://ssl3.sephorastatic.cn/products/3/7/3/7/8/3/1_n_05661_640x640.jpg</t>
  </si>
  <si>
    <t>https://www.sephora.cn/product/778029.html?sku=767017</t>
  </si>
  <si>
    <t>767019</t>
  </si>
  <si>
    <t xml:space="preserve"> 3348901340786</t>
  </si>
  <si>
    <t>https://ssl3.sephorastatic.cn/products/3/7/3/7/8/5/1_n_05504_640x640.jpg</t>
  </si>
  <si>
    <t>https://www.sephora.cn/product/778029.html?sku=767019</t>
  </si>
  <si>
    <t>767020</t>
  </si>
  <si>
    <t xml:space="preserve"> 3348901340649</t>
  </si>
  <si>
    <t>https://ssl3.sephorastatic.cn/products/3/7/3/7/8/6/1_n_05504_640x640.jpg</t>
  </si>
  <si>
    <t>https://www.sephora.cn/product/778029.html?sku=767020</t>
  </si>
  <si>
    <t>767021</t>
  </si>
  <si>
    <t xml:space="preserve"> 3348901340762</t>
  </si>
  <si>
    <t>https://ssl3.sephorastatic.cn/products/3/7/3/7/8/8/1_n_05504_640x640.jpg</t>
  </si>
  <si>
    <t>https://www.sephora.cn/product/778029.html?sku=767021</t>
  </si>
  <si>
    <t>767022</t>
  </si>
  <si>
    <t xml:space="preserve"> 3348901340595</t>
  </si>
  <si>
    <t>https://ssl3.sephorastatic.cn/products/3/7/3/7/9/2/1_n_05504_640x640.jpg</t>
  </si>
  <si>
    <t>https://www.sephora.cn/product/778029.html?sku=767022</t>
  </si>
  <si>
    <t>767023</t>
  </si>
  <si>
    <t xml:space="preserve"> 3348901340625</t>
  </si>
  <si>
    <t>https://ssl3.sephorastatic.cn/products/3/7/3/7/9/3/1_n_06178_640x640.jpg</t>
  </si>
  <si>
    <t>https://www.sephora.cn/product/778029.html?sku=767023</t>
  </si>
  <si>
    <t>767024</t>
  </si>
  <si>
    <t xml:space="preserve"> 3348901340663</t>
  </si>
  <si>
    <t>https://ssl3.sephorastatic.cn/products/3/7/3/7/9/4/1_n_05504_640x640.jpg</t>
  </si>
  <si>
    <t>https://www.sephora.cn/product/778029.html?sku=767024</t>
  </si>
  <si>
    <t>767025</t>
  </si>
  <si>
    <t xml:space="preserve"> 3348901340717</t>
  </si>
  <si>
    <t>https://ssl3.sephorastatic.cn/products/3/7/3/7/9/5/1_n_05504_640x640.jpg</t>
  </si>
  <si>
    <t>https://www.sephora.cn/product/778029.html?sku=767025</t>
  </si>
  <si>
    <t>767026</t>
  </si>
  <si>
    <t xml:space="preserve"> 3348901342667</t>
  </si>
  <si>
    <t>https://ssl3.sephorastatic.cn/products/3/7/3/7/9/6/1_n_05504_640x640.jpg</t>
  </si>
  <si>
    <t>https://www.sephora.cn/product/778029.html?sku=767026</t>
  </si>
  <si>
    <t>767027</t>
  </si>
  <si>
    <t xml:space="preserve"> 3348901340687</t>
  </si>
  <si>
    <t>https://ssl3.sephorastatic.cn/products/3/7/3/7/9/7/1_n_05504_640x640.jpg</t>
  </si>
  <si>
    <t>https://www.sephora.cn/product/778029.html?sku=767027</t>
  </si>
  <si>
    <t>767037</t>
  </si>
  <si>
    <t xml:space="preserve"> 3348901340601</t>
  </si>
  <si>
    <t>https://ssl3.sephorastatic.cn/products/3/7/4/6/4/5/1_n_05504_640x640.jpg</t>
  </si>
  <si>
    <t>https://www.sephora.cn/product/778029.html?sku=767037</t>
  </si>
  <si>
    <t>767038</t>
  </si>
  <si>
    <t xml:space="preserve"> 3348901340823</t>
  </si>
  <si>
    <t>https://ssl3.sephorastatic.cn/products/3/7/4/6/4/6/1_n_05504_640x640.jpg</t>
  </si>
  <si>
    <t>https://www.sephora.cn/product/778029.html?sku=767038</t>
  </si>
  <si>
    <t>767039</t>
  </si>
  <si>
    <t xml:space="preserve"> 3348901340816</t>
  </si>
  <si>
    <t>https://ssl3.sephorastatic.cn/products/3/7/4/6/4/7/1_n_05504_640x640.jpg</t>
  </si>
  <si>
    <t>https://www.sephora.cn/product/778029.html?sku=767039</t>
  </si>
  <si>
    <t>767040</t>
  </si>
  <si>
    <t xml:space="preserve"> 3348901340830</t>
  </si>
  <si>
    <t>https://ssl3.sephorastatic.cn/products/3/7/4/6/4/8/1_n_05536_640x640.jpg</t>
  </si>
  <si>
    <t>https://www.sephora.cn/product/778029.html?sku=767040</t>
  </si>
  <si>
    <t>767042</t>
  </si>
  <si>
    <t xml:space="preserve"> 3348901340700</t>
  </si>
  <si>
    <t>https://ssl3.sephorastatic.cn/products/3/7/4/6/5/0/1_n_05504_640x640.jpg</t>
  </si>
  <si>
    <t>https://www.sephora.cn/product/778029.html?sku=767042</t>
  </si>
  <si>
    <t>773504</t>
  </si>
  <si>
    <t xml:space="preserve"> 3348901296854</t>
  </si>
  <si>
    <t xml:space="preserve"> 克丽丝汀迪奥全新魅惑唇彩</t>
  </si>
  <si>
    <t xml:space="preserve"> CHRISTIAN DIOR ADDICT ULTRA-GLOSS</t>
  </si>
  <si>
    <t>https://ssl3.sephorastatic.cn/products/3/4/7/0/7/3/1_n_07130_640x640.jpg</t>
  </si>
  <si>
    <t>https://www.sephora.cn/product/778026.html?sku=773504</t>
  </si>
  <si>
    <t>773505</t>
  </si>
  <si>
    <t xml:space="preserve"> 3348901296915</t>
  </si>
  <si>
    <t>https://ssl3.sephorastatic.cn/products/3/4/7/0/7/5/1_n_07130_640x640.jpg</t>
  </si>
  <si>
    <t>https://www.sephora.cn/product/778026.html?sku=773505</t>
  </si>
  <si>
    <t>773506</t>
  </si>
  <si>
    <t xml:space="preserve"> 3348901296908</t>
  </si>
  <si>
    <t>https://ssl3.sephorastatic.cn/products/3/4/7/0/7/7/1_n_07047_640x640.jpg</t>
  </si>
  <si>
    <t>https://www.sephora.cn/product/778026.html?sku=773506</t>
  </si>
  <si>
    <t>773508</t>
  </si>
  <si>
    <t xml:space="preserve"> 3348901296922</t>
  </si>
  <si>
    <t>https://ssl3.sephorastatic.cn/products/3/4/7/0/7/9/1_n_07250_640x640.jpg</t>
  </si>
  <si>
    <t>https://www.sephora.cn/product/778026.html?sku=773508</t>
  </si>
  <si>
    <t>773509</t>
  </si>
  <si>
    <t xml:space="preserve"> 3348901297134</t>
  </si>
  <si>
    <t>https://ssl3.sephorastatic.cn/products/3/4/7/0/8/0/1_n_07452_640x640.jpg</t>
  </si>
  <si>
    <t>https://www.sephora.cn/product/778026.html?sku=773509</t>
  </si>
  <si>
    <t>773512</t>
  </si>
  <si>
    <t xml:space="preserve"> 3348901296878</t>
  </si>
  <si>
    <t>https://ssl3.sephorastatic.cn/products/3/4/7/0/8/4/1_n_07370_640x640.jpg</t>
  </si>
  <si>
    <t>https://www.sephora.cn/product/778026.html?sku=773512</t>
  </si>
  <si>
    <t>773513</t>
  </si>
  <si>
    <t xml:space="preserve"> 3348901297080</t>
  </si>
  <si>
    <t>https://ssl3.sephorastatic.cn/products/3/4/9/3/9/0/1_n_07551_640x640.jpg</t>
  </si>
  <si>
    <t>https://www.sephora.cn/product/778026.html?sku=773513</t>
  </si>
  <si>
    <t>773518</t>
  </si>
  <si>
    <t xml:space="preserve"> 3348901297097</t>
  </si>
  <si>
    <t>https://ssl3.sephorastatic.cn/products/3/5/0/5/7/3/1_n_05500_640x640.jpg</t>
  </si>
  <si>
    <t>https://www.sephora.cn/product/778026.html?sku=773518</t>
  </si>
  <si>
    <t>773519</t>
  </si>
  <si>
    <t xml:space="preserve"> 3348901297196</t>
  </si>
  <si>
    <t>https://ssl3.sephorastatic.cn/products/3/5/0/5/7/4/1_n_05500_640x640.jpg</t>
  </si>
  <si>
    <t>https://www.sephora.cn/product/778026.html?sku=773519</t>
  </si>
  <si>
    <t>773520</t>
  </si>
  <si>
    <t xml:space="preserve"> 3348901297042</t>
  </si>
  <si>
    <t>https://ssl3.sephorastatic.cn/products/3/5/8/4/8/4/1_n_07551_640x640.jpg</t>
  </si>
  <si>
    <t>https://www.sephora.cn/product/778026.html?sku=773520</t>
  </si>
  <si>
    <t>773529</t>
  </si>
  <si>
    <t xml:space="preserve"> 3348901308885</t>
  </si>
  <si>
    <t>https://ssl3.sephorastatic.cn/products/3/8/6/6/3/5/1_n_06178_640x640.jpg</t>
  </si>
  <si>
    <t>https://www.sephora.cn/product/778026.html?sku=773529</t>
  </si>
  <si>
    <t>773530</t>
  </si>
  <si>
    <t xml:space="preserve"> 3348901296946</t>
  </si>
  <si>
    <t>https://ssl3.sephorastatic.cn/products/3/8/6/6/3/6/1_n_05504_640x640.jpg</t>
  </si>
  <si>
    <t>https://www.sephora.cn/product/778026.html?sku=773530</t>
  </si>
  <si>
    <t>858055</t>
  </si>
  <si>
    <t xml:space="preserve"> 3348901304122</t>
  </si>
  <si>
    <t xml:space="preserve"> 克丽丝汀迪奥惊艳眉粉笔 </t>
  </si>
  <si>
    <t xml:space="preserve"> DIOR DIORSHOW BROW CHALK </t>
  </si>
  <si>
    <t>https://ssl3.sephorastatic.cn/products/3/6/2/1/4/8/1_n_07370_640x640.jpg</t>
  </si>
  <si>
    <t>https://www.sephora.cn/product/889534.html?sku=858055</t>
  </si>
  <si>
    <t>858056</t>
  </si>
  <si>
    <t xml:space="preserve"> 3348901304139</t>
  </si>
  <si>
    <t>https://ssl3.sephorastatic.cn/products/3/6/2/1/4/9/1_n_05502_640x640.jpg</t>
  </si>
  <si>
    <t>https://www.sephora.cn/product/889534.html?sku=858056</t>
  </si>
  <si>
    <t>858059</t>
  </si>
  <si>
    <t xml:space="preserve"> 3348901320139</t>
  </si>
  <si>
    <t>https://ssl3.sephorastatic.cn/products/3/6/2/1/5/2/1_n_07370_640x640.jpg</t>
  </si>
  <si>
    <t>https://www.sephora.cn/product/778026.html?sku=858059</t>
  </si>
  <si>
    <t>858060</t>
  </si>
  <si>
    <t xml:space="preserve"> 3348901316828</t>
  </si>
  <si>
    <t>https://ssl3.sephorastatic.cn/products/3/6/2/1/5/3/1_n_05502_640x640.jpg</t>
  </si>
  <si>
    <t>https://www.sephora.cn/product/778026.html?sku=858060</t>
  </si>
  <si>
    <t>858061</t>
  </si>
  <si>
    <t xml:space="preserve"> 3348901316842</t>
  </si>
  <si>
    <t>https://ssl3.sephorastatic.cn/products/3/6/2/1/5/4/1_n_05502_640x640.jpg</t>
  </si>
  <si>
    <t>https://www.sephora.cn/product/778026.html?sku=858061</t>
  </si>
  <si>
    <t>858067</t>
  </si>
  <si>
    <t xml:space="preserve"> 3348901334952</t>
  </si>
  <si>
    <t xml:space="preserve"> 克丽丝汀迪奥魅惑磨砂美唇膏</t>
  </si>
  <si>
    <t xml:space="preserve"> DIOR ADDICT LIP SUGAR SCRUB</t>
  </si>
  <si>
    <t>https://ssl3.sephorastatic.cn/products/3/7/2/1/7/3/1_n_06178_640x640.jpg</t>
  </si>
  <si>
    <t>https://www.sephora.cn/product/889533.html?sku=858067</t>
  </si>
  <si>
    <t>858090</t>
  </si>
  <si>
    <t xml:space="preserve"> 3348901318242</t>
  </si>
  <si>
    <t>https://ssl3.sephorastatic.cn/products/4/0/5/0/7/0/1_n_05506_640x640.jpg</t>
  </si>
  <si>
    <t>https://www.sephora.cn/product/778026.html?sku=858090</t>
  </si>
  <si>
    <t>868013</t>
  </si>
  <si>
    <t xml:space="preserve"> 3348901337281</t>
  </si>
  <si>
    <t>https://ssl3.sephorastatic.cn/products/3/7/2/1/7/5/1_n_06817_640x640.jpg</t>
  </si>
  <si>
    <t>https://www.sephora.cn/product/3420.html?sku=868013</t>
  </si>
  <si>
    <t>902502</t>
  </si>
  <si>
    <t xml:space="preserve"> 3348901366816</t>
  </si>
  <si>
    <t xml:space="preserve"> 克丽丝汀迪奥魅惑染唇蜜         </t>
  </si>
  <si>
    <t xml:space="preserve"> DIOR ADDICT LIP TATTOO </t>
  </si>
  <si>
    <t>https://ssl3.sephorastatic.cn/products/3/8/8/4/7/5/1_n_06817_640x640.jpg</t>
  </si>
  <si>
    <t>https://www.sephora.cn/product/905545.html?sku=902502</t>
  </si>
  <si>
    <t>902503</t>
  </si>
  <si>
    <t xml:space="preserve"> 3348901366809</t>
  </si>
  <si>
    <t>https://ssl3.sephorastatic.cn/products/3/8/8/4/7/7/1_n_06817_640x640.jpg</t>
  </si>
  <si>
    <t>https://www.sephora.cn/product/905545.html?sku=902503</t>
  </si>
  <si>
    <t>902504</t>
  </si>
  <si>
    <t xml:space="preserve"> 3348901367509</t>
  </si>
  <si>
    <t>https://ssl3.sephorastatic.cn/products/3/8/8/6/0/2/1_n_06817_640x640.jpg</t>
  </si>
  <si>
    <t>https://www.sephora.cn/product/905545.html?sku=902504</t>
  </si>
  <si>
    <t>902505</t>
  </si>
  <si>
    <t xml:space="preserve"> 3348901367516</t>
  </si>
  <si>
    <t>https://ssl3.sephorastatic.cn/products/3/9/2/1/0/2/1_n_07370_640x640.jpg</t>
  </si>
  <si>
    <t>https://www.sephora.cn/product/905545.html?sku=902505</t>
  </si>
  <si>
    <t>908661</t>
  </si>
  <si>
    <t xml:space="preserve"> 3348901323581</t>
  </si>
  <si>
    <t xml:space="preserve"> 克丽丝汀迪奥金艳幻彩唇膏-17圣诞限量</t>
  </si>
  <si>
    <t xml:space="preserve"> DIOR DIORIFIC </t>
  </si>
  <si>
    <t>https://ssl3.sephorastatic.cn/products/3/6/3/0/6/9/1_n_05597_640x640.jpg</t>
  </si>
  <si>
    <t>https://www.sephora.cn/product/935560.html?sku=908661</t>
  </si>
  <si>
    <t>908662</t>
  </si>
  <si>
    <t xml:space="preserve"> 3348901326254</t>
  </si>
  <si>
    <t>https://ssl3.sephorastatic.cn/products/3/6/3/0/7/0/1_n_05562_640x640.jpg</t>
  </si>
  <si>
    <t>https://www.sephora.cn/product/935560.html?sku=908662</t>
  </si>
  <si>
    <t>908663</t>
  </si>
  <si>
    <t xml:space="preserve"> 3348901326216</t>
  </si>
  <si>
    <t>https://ssl3.sephorastatic.cn/products/3/6/3/0/7/1/1_n_06817_640x640.jpg</t>
  </si>
  <si>
    <t>https://www.sephora.cn/product/935560.html?sku=908663</t>
  </si>
  <si>
    <t>908664</t>
  </si>
  <si>
    <t xml:space="preserve"> 3348901326247</t>
  </si>
  <si>
    <t>https://ssl3.sephorastatic.cn/products/3/6/3/0/7/2/1_n_05502_640x640.jpg</t>
  </si>
  <si>
    <t>https://www.sephora.cn/product/935560.html?sku=908664</t>
  </si>
  <si>
    <t>908665</t>
  </si>
  <si>
    <t xml:space="preserve"> 3348901326230</t>
  </si>
  <si>
    <t>https://ssl3.sephorastatic.cn/products/3/6/3/0/7/3/1_n_05502_640x640.jpg</t>
  </si>
  <si>
    <t>https://www.sephora.cn/product/935560.html?sku=908665</t>
  </si>
  <si>
    <t>908667</t>
  </si>
  <si>
    <t xml:space="preserve"> 3348901323727</t>
  </si>
  <si>
    <t xml:space="preserve"> 克丽斯汀迪奥腮红-17圣诞限量</t>
  </si>
  <si>
    <t xml:space="preserve"> DIOR DSK DIORBLUSH L/ED</t>
  </si>
  <si>
    <t>https://ssl3.sephorastatic.cn/products/3/6/3/0/8/0/1_n_05502_640x640.jpg</t>
  </si>
  <si>
    <t>https://www.sephora.cn/product/935569.html?sku=908667</t>
  </si>
  <si>
    <t>939503</t>
  </si>
  <si>
    <t xml:space="preserve"> 3348901363778</t>
  </si>
  <si>
    <t xml:space="preserve"> 克丽丝汀迪奥烈艳蓝金唇膏（双色双效） </t>
  </si>
  <si>
    <t xml:space="preserve"> DIOR ROUGE DIOR DOUBLE ROUGE </t>
  </si>
  <si>
    <t>https://ssl3.sephorastatic.cn/products/4/0/2/9/4/5/1_n_06817_640x640.jpg</t>
  </si>
  <si>
    <t>https://www.sephora.cn/product/956770.html?sku=939503</t>
  </si>
  <si>
    <t>939504</t>
  </si>
  <si>
    <t xml:space="preserve"> 3348901363723</t>
  </si>
  <si>
    <t>https://ssl3.sephorastatic.cn/products/4/0/2/9/4/6/1_n_07130_640x640.jpg</t>
  </si>
  <si>
    <t>https://www.sephora.cn/product/956770.html?sku=939504</t>
  </si>
  <si>
    <t>939505</t>
  </si>
  <si>
    <t xml:space="preserve"> 3348901363747</t>
  </si>
  <si>
    <t>https://ssl3.sephorastatic.cn/products/4/0/2/9/4/7/1_n_07452_640x640.jpg</t>
  </si>
  <si>
    <t>https://www.sephora.cn/product/956770.html?sku=939505</t>
  </si>
  <si>
    <t>939506</t>
  </si>
  <si>
    <t xml:space="preserve"> 3348901367806</t>
  </si>
  <si>
    <t>https://ssl3.sephorastatic.cn/products/4/0/2/9/4/8/1_n_06817_640x640.jpg</t>
  </si>
  <si>
    <t>https://www.sephora.cn/product/956770.html?sku=939506</t>
  </si>
  <si>
    <t>939507</t>
  </si>
  <si>
    <t xml:space="preserve"> 3348901363730</t>
  </si>
  <si>
    <t>https://ssl3.sephorastatic.cn/products/4/0/4/0/6/5/1_n_07130_640x640.jpg</t>
  </si>
  <si>
    <t>https://www.sephora.cn/product/956770.html?sku=939507</t>
  </si>
  <si>
    <t>939508</t>
  </si>
  <si>
    <t xml:space="preserve"> 3348901364386</t>
  </si>
  <si>
    <t>https://ssl3.sephorastatic.cn/products/4/0/7/3/5/9/1_n_06817_640x640.jpg</t>
  </si>
  <si>
    <t>https://www.sephora.cn/product/956770.html?sku=939508</t>
  </si>
  <si>
    <t>939509</t>
  </si>
  <si>
    <t xml:space="preserve"> 3348901363648</t>
  </si>
  <si>
    <t>https://ssl3.sephorastatic.cn/products/4/0/7/3/6/1/1_n_06817_640x640.jpg</t>
  </si>
  <si>
    <t>https://www.sephora.cn/product/956770.html?sku=939509</t>
  </si>
  <si>
    <t>939510</t>
  </si>
  <si>
    <t xml:space="preserve"> 3348901363655</t>
  </si>
  <si>
    <t>https://ssl3.sephorastatic.cn/products/4/0/7/3/6/2/1_n_06817_640x640.jpg</t>
  </si>
  <si>
    <t>https://www.sephora.cn/product/956770.html?sku=939510</t>
  </si>
  <si>
    <t>939511</t>
  </si>
  <si>
    <t xml:space="preserve"> 3348901363761</t>
  </si>
  <si>
    <t>https://ssl3.sephorastatic.cn/products/4/0/7/3/6/3/1_n_06891_640x640.jpg</t>
  </si>
  <si>
    <t>https://www.sephora.cn/product/956770.html?sku=939511</t>
  </si>
  <si>
    <t>939512</t>
  </si>
  <si>
    <t xml:space="preserve"> 3348901363587</t>
  </si>
  <si>
    <t>https://ssl3.sephorastatic.cn/products/4/0/7/3/6/5/1_n_06891_640x640.jpg</t>
  </si>
  <si>
    <t>https://www.sephora.cn/product/956770.html?sku=939512</t>
  </si>
  <si>
    <t>939513</t>
  </si>
  <si>
    <t xml:space="preserve"> 3348901363617</t>
  </si>
  <si>
    <t>https://ssl3.sephorastatic.cn/products/4/0/7/3/6/6/1_n_07049_640x640.jpg</t>
  </si>
  <si>
    <t>https://www.sephora.cn/product/956770.html?sku=939513</t>
  </si>
  <si>
    <t>939515</t>
  </si>
  <si>
    <t xml:space="preserve"> 3348901363693</t>
  </si>
  <si>
    <t>https://ssl3.sephorastatic.cn/products/4/0/8/6/0/7/1_n_05640_640x640.jpg</t>
  </si>
  <si>
    <t>https://www.sephora.cn/product/956770.html?sku=939515</t>
  </si>
  <si>
    <t>939516</t>
  </si>
  <si>
    <t xml:space="preserve"> 3348901363754</t>
  </si>
  <si>
    <t>https://ssl3.sephorastatic.cn/products/4/0/8/6/0/8/1_n_07370_640x640.jpg</t>
  </si>
  <si>
    <t>https://www.sephora.cn/product/956770.html?sku=939516</t>
  </si>
  <si>
    <t>939527</t>
  </si>
  <si>
    <t xml:space="preserve"> 3348901363662</t>
  </si>
  <si>
    <t>https://ssl3.sephorastatic.cn/products/4/1/1/0/0/7/1_n_07130_640x640.jpg</t>
  </si>
  <si>
    <t>https://www.sephora.cn/product/956770.html?sku=939527</t>
  </si>
  <si>
    <t>939533</t>
  </si>
  <si>
    <t xml:space="preserve"> 3348901363631</t>
  </si>
  <si>
    <t>https://ssl3.sephorastatic.cn/products/4/2/0/9/7/7/1_n_06817_640x640.jpg</t>
  </si>
  <si>
    <t>https://www.sephora.cn/product/956770.html?sku=939533</t>
  </si>
  <si>
    <t>939534</t>
  </si>
  <si>
    <t xml:space="preserve"> 3348901363594</t>
  </si>
  <si>
    <t>https://ssl3.sephorastatic.cn/products/4/2/0/9/7/8/1_n_07049_640x640.jpg</t>
  </si>
  <si>
    <t>https://www.sephora.cn/product/956770.html?sku=939534</t>
  </si>
  <si>
    <t>941574</t>
  </si>
  <si>
    <t xml:space="preserve"> 3348901373364</t>
  </si>
  <si>
    <t>https://ssl3.sephorastatic.cn/products/4/0/2/9/3/2/1_n_06817_640x640.jpg</t>
  </si>
  <si>
    <t>https://www.sephora.cn/product/755501.html?sku=941574</t>
  </si>
  <si>
    <t>948507</t>
  </si>
  <si>
    <t xml:space="preserve"> 3348901366823</t>
  </si>
  <si>
    <t>https://ssl3.sephorastatic.cn/products/3/8/8/4/7/4/1_n_06178_640x640.jpg</t>
  </si>
  <si>
    <t>https://www.sephora.cn/product/905545.html?sku=948507</t>
  </si>
  <si>
    <t>948508</t>
  </si>
  <si>
    <t xml:space="preserve"> 3348901366830</t>
  </si>
  <si>
    <t>https://ssl3.sephorastatic.cn/products/3/8/8/4/7/6/1_n_05683_640x640.jpg</t>
  </si>
  <si>
    <t>https://www.sephora.cn/product/905545.html?sku=948508</t>
  </si>
  <si>
    <t>948510</t>
  </si>
  <si>
    <t xml:space="preserve"> 3348901366793</t>
  </si>
  <si>
    <t>https://ssl3.sephorastatic.cn/products/3/9/7/6/4/7/1_n_06817_640x640.jpg</t>
  </si>
  <si>
    <t>https://www.sephora.cn/product/905545.html?sku=948510</t>
  </si>
  <si>
    <t>948511</t>
  </si>
  <si>
    <t xml:space="preserve"> 3348901359986</t>
  </si>
  <si>
    <t xml:space="preserve"> 克丽丝汀迪奥惊艳眉毛膏</t>
  </si>
  <si>
    <t xml:space="preserve"> DIOR DSHOW BOLD BROW</t>
  </si>
  <si>
    <t>https://ssl3.sephorastatic.cn/products/4/0/2/9/2/9/1_n_05683_640x640.jpg</t>
  </si>
  <si>
    <t>https://www.sephora.cn/product/956782.html?sku=948511</t>
  </si>
  <si>
    <t>948512</t>
  </si>
  <si>
    <t xml:space="preserve"> 3348901375573</t>
  </si>
  <si>
    <t>https://ssl3.sephorastatic.cn/products/4/0/2/9/3/1/1_n_07370_640x640.jpg</t>
  </si>
  <si>
    <t>https://www.sephora.cn/product/956782.html?sku=948512</t>
  </si>
  <si>
    <t>955010</t>
  </si>
  <si>
    <t xml:space="preserve"> 3348901369787</t>
  </si>
  <si>
    <t xml:space="preserve"> 克丽丝汀迪奥烈艳蓝金液唇膏        </t>
  </si>
  <si>
    <t xml:space="preserve"> DIOR ROUGE DIOR LIQUID </t>
  </si>
  <si>
    <t>https://ssl3.sephorastatic.cn/products/4/0/2/9/5/3/1_n_07250_640x640.jpg</t>
  </si>
  <si>
    <t>https://www.sephora.cn/product/962345.html?sku=955010</t>
  </si>
  <si>
    <t>955011</t>
  </si>
  <si>
    <t xml:space="preserve"> 3348901371957</t>
  </si>
  <si>
    <t>https://ssl3.sephorastatic.cn/products/4/0/2/9/5/5/1_n_06891_640x640.jpg</t>
  </si>
  <si>
    <t>https://www.sephora.cn/product/962345.html?sku=955011</t>
  </si>
  <si>
    <t>955012</t>
  </si>
  <si>
    <t xml:space="preserve"> 3348901356640</t>
  </si>
  <si>
    <t>https://ssl3.sephorastatic.cn/products/4/0/2/9/5/6/1_n_07047_640x640.jpg</t>
  </si>
  <si>
    <t>https://www.sephora.cn/product/962345.html?sku=955012</t>
  </si>
  <si>
    <t>955013</t>
  </si>
  <si>
    <t xml:space="preserve"> 3348901356695</t>
  </si>
  <si>
    <t>https://ssl3.sephorastatic.cn/products/4/0/2/9/5/7/1_n_07049_640x640.jpg</t>
  </si>
  <si>
    <t>https://www.sephora.cn/product/962345.html?sku=955013</t>
  </si>
  <si>
    <t>955014</t>
  </si>
  <si>
    <t xml:space="preserve"> 3348901369770</t>
  </si>
  <si>
    <t>https://ssl3.sephorastatic.cn/products/4/0/2/9/5/9/1_n_06817_640x640.jpg</t>
  </si>
  <si>
    <t>https://www.sephora.cn/product/962345.html?sku=955014</t>
  </si>
  <si>
    <t>955015</t>
  </si>
  <si>
    <t xml:space="preserve"> 3348901356787</t>
  </si>
  <si>
    <t>https://ssl3.sephorastatic.cn/products/4/0/2/9/6/0/1_n_06817_640x640.jpg</t>
  </si>
  <si>
    <t>https://www.sephora.cn/product/962345.html?sku=955015</t>
  </si>
  <si>
    <t>955016</t>
  </si>
  <si>
    <t xml:space="preserve"> 3348901356725</t>
  </si>
  <si>
    <t>https://ssl3.sephorastatic.cn/products/4/0/2/9/6/1/1_n_06817_640x640.jpg</t>
  </si>
  <si>
    <t>https://www.sephora.cn/product/962345.html?sku=955016</t>
  </si>
  <si>
    <t>955017</t>
  </si>
  <si>
    <t xml:space="preserve"> 3348901356664</t>
  </si>
  <si>
    <t>https://ssl3.sephorastatic.cn/products/4/0/2/9/6/2/1_n_07049_640x640.jpg</t>
  </si>
  <si>
    <t>https://www.sephora.cn/product/962345.html?sku=955017</t>
  </si>
  <si>
    <t>955018</t>
  </si>
  <si>
    <t xml:space="preserve"> 3348901369800</t>
  </si>
  <si>
    <t>https://ssl3.sephorastatic.cn/products/4/0/2/9/6/3/1_n_07049_640x640.jpg</t>
  </si>
  <si>
    <t>https://www.sephora.cn/product/962345.html?sku=955018</t>
  </si>
  <si>
    <t>955019</t>
  </si>
  <si>
    <t xml:space="preserve"> 3348901356800</t>
  </si>
  <si>
    <t>https://ssl3.sephorastatic.cn/products/4/0/2/9/6/5/1_n_06891_640x640.jpg</t>
  </si>
  <si>
    <t>https://www.sephora.cn/product/962345.html?sku=955019</t>
  </si>
  <si>
    <t>955020</t>
  </si>
  <si>
    <t xml:space="preserve"> 3348901356688</t>
  </si>
  <si>
    <t>https://ssl3.sephorastatic.cn/products/4/0/2/9/6/7/1_n_06817_640x640.jpg</t>
  </si>
  <si>
    <t>https://www.sephora.cn/product/962345.html?sku=955020</t>
  </si>
  <si>
    <t>955021</t>
  </si>
  <si>
    <t xml:space="preserve"> 3348901356756</t>
  </si>
  <si>
    <t>https://ssl3.sephorastatic.cn/products/4/0/2/9/6/8/1_n_06817_640x640.jpg</t>
  </si>
  <si>
    <t>https://www.sephora.cn/product/962345.html?sku=955021</t>
  </si>
  <si>
    <t>955022</t>
  </si>
  <si>
    <t xml:space="preserve"> 3348901369817</t>
  </si>
  <si>
    <t>https://ssl3.sephorastatic.cn/products/4/0/4/0/5/6/1_n_06891_640x640.jpg</t>
  </si>
  <si>
    <t>https://www.sephora.cn/product/962345.html?sku=955022</t>
  </si>
  <si>
    <t>955023</t>
  </si>
  <si>
    <t xml:space="preserve"> 3348901379922</t>
  </si>
  <si>
    <t>https://ssl3.sephorastatic.cn/products/4/0/4/0/5/7/1_n_07551_640x640.jpg</t>
  </si>
  <si>
    <t>https://www.sephora.cn/product/962345.html?sku=955023</t>
  </si>
  <si>
    <t>955024</t>
  </si>
  <si>
    <t xml:space="preserve"> 3348901379656</t>
  </si>
  <si>
    <t>https://ssl3.sephorastatic.cn/products/4/0/4/0/5/9/1_n_06891_640x640.jpg</t>
  </si>
  <si>
    <t>https://www.sephora.cn/product/962345.html?sku=955024</t>
  </si>
  <si>
    <t>955025</t>
  </si>
  <si>
    <t xml:space="preserve"> 3348901356657</t>
  </si>
  <si>
    <t>https://ssl3.sephorastatic.cn/products/4/0/4/0/6/0/1_n_06817_640x640.jpg</t>
  </si>
  <si>
    <t>https://www.sephora.cn/product/962345.html?sku=955025</t>
  </si>
  <si>
    <t>955026</t>
  </si>
  <si>
    <t xml:space="preserve"> 3348901356671</t>
  </si>
  <si>
    <t>https://ssl3.sephorastatic.cn/products/4/0/4/0/6/1/1_n_07047_640x640.jpg</t>
  </si>
  <si>
    <t>https://www.sephora.cn/product/962345.html?sku=955026</t>
  </si>
  <si>
    <t>955027</t>
  </si>
  <si>
    <t xml:space="preserve"> 3348901379915</t>
  </si>
  <si>
    <t>https://ssl3.sephorastatic.cn/products/4/0/4/0/6/2/1_n_07452_640x640.jpg</t>
  </si>
  <si>
    <t>https://www.sephora.cn/product/962345.html?sku=955027</t>
  </si>
  <si>
    <t>955028</t>
  </si>
  <si>
    <t xml:space="preserve"> 3348901381178</t>
  </si>
  <si>
    <t>https://ssl3.sephorastatic.cn/products/4/0/4/0/6/3/1_n_07551_640x640.jpg</t>
  </si>
  <si>
    <t>https://www.sephora.cn/product/962345.html?sku=955028</t>
  </si>
  <si>
    <t>955029</t>
  </si>
  <si>
    <t xml:space="preserve"> 3348901356749</t>
  </si>
  <si>
    <t>https://ssl3.sephorastatic.cn/products/4/0/4/0/7/6/1_n_07047_640x640.jpg</t>
  </si>
  <si>
    <t>https://www.sephora.cn/product/962345.html?sku=955029</t>
  </si>
  <si>
    <t>955030</t>
  </si>
  <si>
    <t xml:space="preserve"> 3348901356770</t>
  </si>
  <si>
    <t>https://ssl3.sephorastatic.cn/products/4/0/7/3/5/7/1_n_07250_640x640.jpg</t>
  </si>
  <si>
    <t>https://www.sephora.cn/product/962345.html?sku=955030</t>
  </si>
  <si>
    <t>971051</t>
  </si>
  <si>
    <t xml:space="preserve"> 3348901302418</t>
  </si>
  <si>
    <t>https://ssl3.sephorastatic.cn/products/4/1/2/4/6/0/1_n_07721_640x640.jpg</t>
  </si>
  <si>
    <t>https://www.sephora.cn/product/971544.html?sku=971051</t>
  </si>
  <si>
    <t>971054</t>
  </si>
  <si>
    <t xml:space="preserve"> 3348901392150</t>
  </si>
  <si>
    <t>https://ssl3.sephorastatic.cn/products/4/3/5/6/4/8/1_n_07130_640x640.jpg</t>
  </si>
  <si>
    <t>https://www.sephora.cn/product/971542.html?sku=971054</t>
  </si>
  <si>
    <t>975147</t>
  </si>
  <si>
    <t xml:space="preserve"> 3348901394628</t>
  </si>
  <si>
    <t>https://ssl3.sephorastatic.cn/products/4/2/1/5/7/9/1_n_06263_640x640.jpg</t>
  </si>
  <si>
    <t>https://www.sephora.cn/product/3420.html?sku=975147</t>
  </si>
  <si>
    <t>975148</t>
  </si>
  <si>
    <t xml:space="preserve"> 3348901394635</t>
  </si>
  <si>
    <t>https://ssl3.sephorastatic.cn/products/4/2/1/5/8/0/1_n_06263_640x640.jpg</t>
  </si>
  <si>
    <t>https://www.sephora.cn/product/3420.html?sku=975148</t>
  </si>
  <si>
    <t>975149</t>
  </si>
  <si>
    <t xml:space="preserve"> 3348901379885</t>
  </si>
  <si>
    <t>https://ssl3.sephorastatic.cn/products/4/2/1/5/8/1/1_n_06263_640x640.jpg</t>
  </si>
  <si>
    <t>https://www.sephora.cn/product/3420.html?sku=975149</t>
  </si>
  <si>
    <t>975150</t>
  </si>
  <si>
    <t xml:space="preserve"> 3348901394703</t>
  </si>
  <si>
    <t>https://ssl3.sephorastatic.cn/products/4/2/1/5/8/2/1_n_06263_640x640.jpg</t>
  </si>
  <si>
    <t>https://www.sephora.cn/product/3420.html?sku=975150</t>
  </si>
  <si>
    <t>975151</t>
  </si>
  <si>
    <t xml:space="preserve"> 3348901394666</t>
  </si>
  <si>
    <t>https://ssl3.sephorastatic.cn/products/4/2/1/5/8/3/1_n_06346_640x640.jpg</t>
  </si>
  <si>
    <t>https://www.sephora.cn/product/3420.html?sku=975151</t>
  </si>
  <si>
    <t>975152</t>
  </si>
  <si>
    <t xml:space="preserve"> 3348901394673</t>
  </si>
  <si>
    <t>https://ssl3.sephorastatic.cn/products/4/2/1/5/8/4/1_n_07204_640x640.jpg</t>
  </si>
  <si>
    <t>https://www.sephora.cn/product/3420.html?sku=975152</t>
  </si>
  <si>
    <t>#f58881</t>
  </si>
  <si>
    <t>#e37c9a</t>
  </si>
  <si>
    <t>#ec716a</t>
  </si>
  <si>
    <t>#e19d92</t>
  </si>
  <si>
    <t>#eb8789</t>
  </si>
  <si>
    <t>#ed6073</t>
  </si>
  <si>
    <t>#f19888</t>
  </si>
  <si>
    <t>#e86f7e</t>
  </si>
  <si>
    <t>#fd5d5f</t>
  </si>
  <si>
    <t>#fc81c0</t>
  </si>
  <si>
    <t>#f44562</t>
  </si>
  <si>
    <t>#dca7f9</t>
  </si>
  <si>
    <t>#ff4af9</t>
  </si>
  <si>
    <t>#c9756a</t>
  </si>
  <si>
    <t>#ed6452</t>
  </si>
  <si>
    <t>#d65f61</t>
  </si>
  <si>
    <t>#ec5f7f</t>
  </si>
  <si>
    <t>#000000</t>
  </si>
  <si>
    <t>#171717</t>
  </si>
  <si>
    <t>#b97a57</t>
  </si>
  <si>
    <t>#302f35</t>
  </si>
  <si>
    <t>#344861</t>
  </si>
  <si>
    <t>#5a4446</t>
  </si>
  <si>
    <t>#959190</t>
  </si>
  <si>
    <t>#3b2c27</t>
  </si>
  <si>
    <t>#65493b</t>
  </si>
  <si>
    <t>#422e25</t>
  </si>
  <si>
    <t>#965d3d</t>
  </si>
  <si>
    <t>#754f44</t>
  </si>
  <si>
    <t>#5f3f30</t>
  </si>
  <si>
    <t>#6f413f</t>
  </si>
  <si>
    <t>#39362e</t>
  </si>
  <si>
    <t>#ffffff</t>
  </si>
  <si>
    <t>#b69a84</t>
  </si>
  <si>
    <t>#f9c9b2</t>
  </si>
  <si>
    <t>#ec5856</t>
  </si>
  <si>
    <t>#eb7047</t>
  </si>
  <si>
    <t>#c9323b</t>
  </si>
  <si>
    <t>#db2a54</t>
  </si>
  <si>
    <t>#d77a72</t>
  </si>
  <si>
    <t>#ca2752</t>
  </si>
  <si>
    <t>#994b37</t>
  </si>
  <si>
    <t>#b60124</t>
  </si>
  <si>
    <t>#9a3539</t>
  </si>
  <si>
    <t>#d3244d</t>
  </si>
  <si>
    <t>#ee8492</t>
  </si>
  <si>
    <t>#e24f6b</t>
  </si>
  <si>
    <t>#cd584f</t>
  </si>
  <si>
    <t>#ec5e6a</t>
  </si>
  <si>
    <t>#ff878e</t>
  </si>
  <si>
    <t>#ff6d63</t>
  </si>
  <si>
    <t>#ff482b</t>
  </si>
  <si>
    <t>#f60039</t>
  </si>
  <si>
    <t>#fb7e86</t>
  </si>
  <si>
    <t>#ff394e</t>
  </si>
  <si>
    <t>#ff7c84</t>
  </si>
  <si>
    <t>#f33c51</t>
  </si>
  <si>
    <t>#ff3c34</t>
  </si>
  <si>
    <t>#fe3d47</t>
  </si>
  <si>
    <t>#ff326b</t>
  </si>
  <si>
    <t>#ef0026</t>
  </si>
  <si>
    <t>#a90445</t>
  </si>
  <si>
    <t>#da0048</t>
  </si>
  <si>
    <t>#f63e63</t>
  </si>
  <si>
    <t>#ff6d72</t>
  </si>
  <si>
    <t>#ff6a87</t>
  </si>
  <si>
    <t>#f16757</t>
  </si>
  <si>
    <t>#ff4c5b</t>
  </si>
  <si>
    <t>#dd454b</t>
  </si>
  <si>
    <t>#bc4c64</t>
  </si>
  <si>
    <t>#e25b69</t>
  </si>
  <si>
    <t>#70453f</t>
  </si>
  <si>
    <t>#bf7a8f</t>
  </si>
  <si>
    <t>#9c0911</t>
  </si>
  <si>
    <t>#c03368</t>
  </si>
  <si>
    <t>#b3525b</t>
  </si>
  <si>
    <t>#e5473b</t>
  </si>
  <si>
    <t>#c93430</t>
  </si>
  <si>
    <t>#cb3461</t>
  </si>
  <si>
    <t>#c12e41</t>
  </si>
  <si>
    <t>#ac1c26</t>
  </si>
  <si>
    <t>#c66f66</t>
  </si>
  <si>
    <t>#703150</t>
  </si>
  <si>
    <t>#e24a49</t>
  </si>
  <si>
    <t>#e3455e</t>
  </si>
  <si>
    <t>#b81c1d</t>
  </si>
  <si>
    <t>#f1ca8f</t>
  </si>
  <si>
    <t>#e47070</t>
  </si>
  <si>
    <t>#ee738f</t>
  </si>
  <si>
    <t>#83395a</t>
  </si>
  <si>
    <t>#911923</t>
  </si>
  <si>
    <t>#f0899e</t>
  </si>
  <si>
    <t>#e14149</t>
  </si>
  <si>
    <t>#ed7a87</t>
  </si>
  <si>
    <t>#e0445a</t>
  </si>
  <si>
    <t>#ea5072</t>
  </si>
  <si>
    <t>#db2b5c</t>
  </si>
  <si>
    <t>#eb466e</t>
  </si>
  <si>
    <t>#ea4726</t>
  </si>
  <si>
    <t>#df426d</t>
  </si>
  <si>
    <t>#df6c73</t>
  </si>
  <si>
    <t>#d8b0d2</t>
  </si>
  <si>
    <t>#e69697</t>
  </si>
  <si>
    <t>#eef3f7</t>
  </si>
  <si>
    <t>#f5a58e</t>
  </si>
  <si>
    <t>#8f5851</t>
  </si>
  <si>
    <t>#e5788b</t>
  </si>
  <si>
    <t>#ff2c3c</t>
  </si>
  <si>
    <t>#fe0058</t>
  </si>
  <si>
    <t>#e9586c</t>
  </si>
  <si>
    <t>#f10000</t>
  </si>
  <si>
    <t>#ee6789</t>
  </si>
  <si>
    <t>#fb5669</t>
  </si>
  <si>
    <t>#fe002c</t>
  </si>
  <si>
    <t>#f14342</t>
  </si>
  <si>
    <t>#ff435a</t>
  </si>
  <si>
    <t>#ff4448</t>
  </si>
  <si>
    <t>#ff3600</t>
  </si>
  <si>
    <t>#d4494a</t>
  </si>
  <si>
    <t>#e4415f</t>
  </si>
  <si>
    <t>#f50001</t>
  </si>
  <si>
    <t>#ff0311</t>
  </si>
  <si>
    <t>#e7282f</t>
  </si>
  <si>
    <t>#d70000</t>
  </si>
  <si>
    <t>#fa003f</t>
  </si>
  <si>
    <t>#e74a5f</t>
  </si>
  <si>
    <t>#ff725c</t>
  </si>
  <si>
    <t>#e74a61</t>
  </si>
  <si>
    <t>#ce0d25</t>
  </si>
  <si>
    <t>#bf181f</t>
  </si>
  <si>
    <t>#ff292f</t>
  </si>
  <si>
    <t>#6d2325</t>
  </si>
  <si>
    <t>#d6032e</t>
  </si>
  <si>
    <t>#f90052</t>
  </si>
  <si>
    <t>#e5bdbb</t>
  </si>
  <si>
    <t>#fea3a2</t>
  </si>
  <si>
    <t>#ff7058</t>
  </si>
  <si>
    <t>#ec7d93</t>
  </si>
  <si>
    <t>#803259</t>
  </si>
  <si>
    <t>#ffb9b8</t>
  </si>
  <si>
    <t>#f9315e</t>
  </si>
  <si>
    <t>#f60050</t>
  </si>
  <si>
    <t>#eb607f</t>
  </si>
  <si>
    <t>#eb8db3</t>
  </si>
  <si>
    <t>#ff9090</t>
  </si>
  <si>
    <t>#ff626e</t>
  </si>
  <si>
    <t>#ff6272</t>
  </si>
  <si>
    <t>#df7377</t>
  </si>
  <si>
    <t>#fa608f</t>
  </si>
  <si>
    <t>#a54c84</t>
  </si>
  <si>
    <t>#905064</t>
  </si>
  <si>
    <t>#e43843</t>
  </si>
  <si>
    <t>#bdc5be</t>
  </si>
  <si>
    <t>#26495d</t>
  </si>
  <si>
    <t>#ef8182</t>
  </si>
  <si>
    <t>#eb5959</t>
  </si>
  <si>
    <t>#f08885</t>
  </si>
  <si>
    <t>#db6273</t>
  </si>
  <si>
    <t>#d27b68</t>
  </si>
  <si>
    <t>#cb657d</t>
  </si>
  <si>
    <t>#e3544c</t>
  </si>
  <si>
    <t>#aa584d</t>
  </si>
  <si>
    <t>#ce354a</t>
  </si>
  <si>
    <t>#ab5d6a</t>
  </si>
  <si>
    <t>#af695d</t>
  </si>
  <si>
    <t>#a50c45</t>
  </si>
  <si>
    <t>#791e27</t>
  </si>
  <si>
    <t>#c51215</t>
  </si>
  <si>
    <t>#e43f1f</t>
  </si>
  <si>
    <t>#292325</t>
  </si>
  <si>
    <t>#d4cfd3</t>
  </si>
  <si>
    <t>#cc4736</t>
  </si>
  <si>
    <t>#d32759</t>
  </si>
  <si>
    <t>#652732</t>
  </si>
  <si>
    <t>#3a2427</t>
  </si>
  <si>
    <t>#ed6b87</t>
  </si>
  <si>
    <t>#d1426d</t>
  </si>
  <si>
    <t>#a9dcda</t>
  </si>
  <si>
    <t>#fd4752</t>
  </si>
  <si>
    <t>#f92c4e</t>
  </si>
  <si>
    <t>#a83f44</t>
  </si>
  <si>
    <t>#ff5684</t>
  </si>
  <si>
    <t>#c1594d</t>
  </si>
  <si>
    <t>#b85b5a</t>
  </si>
  <si>
    <t>#ed6770</t>
  </si>
  <si>
    <t>#ee717f</t>
  </si>
  <si>
    <t>#ff595c</t>
  </si>
  <si>
    <t>#fa6673</t>
  </si>
  <si>
    <t>#ff4534</t>
  </si>
  <si>
    <t>#df5c6c</t>
  </si>
  <si>
    <t>#ff004f</t>
  </si>
  <si>
    <t>#fe0000</t>
  </si>
  <si>
    <t>#b40000</t>
  </si>
  <si>
    <t>#dd0010</t>
  </si>
  <si>
    <t>#d40055</t>
  </si>
  <si>
    <t>#692427</t>
  </si>
  <si>
    <t>#ff3949</t>
  </si>
  <si>
    <t>#ff3000</t>
  </si>
  <si>
    <t>#ff461d</t>
  </si>
  <si>
    <t>#a21a00</t>
  </si>
  <si>
    <t>#a2032c</t>
  </si>
  <si>
    <t>Saturation</t>
  </si>
  <si>
    <t>Lightness</t>
  </si>
  <si>
    <t>HEX</t>
  </si>
  <si>
    <t>1 Pinkish white</t>
  </si>
  <si>
    <t>2 Very pale pink</t>
  </si>
  <si>
    <t>3 Pale pink</t>
  </si>
  <si>
    <t>4 Light pink</t>
  </si>
  <si>
    <t>5 Light brilliant red</t>
  </si>
  <si>
    <t>6 Luminous vivid red</t>
  </si>
  <si>
    <t>7 Pinkish gray</t>
  </si>
  <si>
    <t>8 Pale, grayish pink</t>
  </si>
  <si>
    <t>9 Pink</t>
  </si>
  <si>
    <t>10 Brilliant red</t>
  </si>
  <si>
    <t>11 Vivid red</t>
  </si>
  <si>
    <t>12 Reddish gray</t>
  </si>
  <si>
    <t>13 Grayish red</t>
  </si>
  <si>
    <t>14 Moderate red</t>
  </si>
  <si>
    <t>15 Strong red</t>
  </si>
  <si>
    <t>16 Reddish brownish gray</t>
  </si>
  <si>
    <t>17 Dark grayish reddish brown</t>
  </si>
  <si>
    <t>18 Reddish brown</t>
  </si>
  <si>
    <t>19 Deep reddish brown</t>
  </si>
  <si>
    <t>20 Reddish brownish black</t>
  </si>
  <si>
    <t>21 Very reddish brown</t>
  </si>
  <si>
    <t>22 Very deep reddish brown</t>
  </si>
  <si>
    <t>http://www.procato.com/rgb+index/#</t>
  </si>
  <si>
    <t>Red</t>
  </si>
  <si>
    <t>Scarlet</t>
  </si>
  <si>
    <t>Vermilion</t>
  </si>
  <si>
    <t>Tangelo</t>
  </si>
  <si>
    <t>Orange</t>
  </si>
  <si>
    <t>Gamboge</t>
  </si>
  <si>
    <t>Amber</t>
  </si>
  <si>
    <t>Gold</t>
  </si>
  <si>
    <t>Yellow</t>
  </si>
  <si>
    <t>Apple green</t>
  </si>
  <si>
    <t>Lime green</t>
  </si>
  <si>
    <t>Spring bud</t>
  </si>
  <si>
    <t>Chartreuse green</t>
  </si>
  <si>
    <t>Pistachio</t>
  </si>
  <si>
    <t>Harlequin</t>
  </si>
  <si>
    <t>Sap green</t>
  </si>
  <si>
    <t>Green</t>
  </si>
  <si>
    <t>Emerald green</t>
  </si>
  <si>
    <t>Malachite green</t>
  </si>
  <si>
    <t>Sea green</t>
  </si>
  <si>
    <t>Spring green</t>
  </si>
  <si>
    <t>Aquamarine</t>
  </si>
  <si>
    <t>Turquoise</t>
  </si>
  <si>
    <t>Opal</t>
  </si>
  <si>
    <t>Cyan</t>
  </si>
  <si>
    <t>Arctic blue</t>
  </si>
  <si>
    <t>Cerulean</t>
  </si>
  <si>
    <t>Cornflower blue</t>
  </si>
  <si>
    <t>Azure</t>
  </si>
  <si>
    <t>Cobalt blue</t>
  </si>
  <si>
    <t>Sapphire blue</t>
  </si>
  <si>
    <t>Phthalo blue</t>
  </si>
  <si>
    <t>Blue</t>
  </si>
  <si>
    <t>Persian blue</t>
  </si>
  <si>
    <t>Indigo</t>
  </si>
  <si>
    <t>Blue violet</t>
  </si>
  <si>
    <t>Violet</t>
  </si>
  <si>
    <t>Purple</t>
  </si>
  <si>
    <t>Mulberry</t>
  </si>
  <si>
    <t>Heliotrope</t>
  </si>
  <si>
    <t>Magenta</t>
  </si>
  <si>
    <t>Orchid</t>
  </si>
  <si>
    <t>Fuchsia</t>
  </si>
  <si>
    <t>Cerise</t>
  </si>
  <si>
    <t>Rose</t>
  </si>
  <si>
    <t>Raspberry</t>
  </si>
  <si>
    <t>Crimson</t>
  </si>
  <si>
    <t>Amaranth</t>
  </si>
  <si>
    <t>HUE</t>
  </si>
  <si>
    <t>COLOR NAME</t>
  </si>
  <si>
    <t>r</t>
  </si>
  <si>
    <t>g</t>
  </si>
  <si>
    <t>b</t>
  </si>
  <si>
    <t>Moderate</t>
  </si>
  <si>
    <t>23 Pale scarlet</t>
  </si>
  <si>
    <t>24 Very light scarlet</t>
  </si>
  <si>
    <t>25 Light brilliant scarlet</t>
  </si>
  <si>
    <t>26 Luminous vivid scarlet</t>
  </si>
  <si>
    <t>27 Light scarlet</t>
  </si>
  <si>
    <t>28 Brilliant scarlet</t>
  </si>
  <si>
    <t>29 Vivid scarlet</t>
  </si>
  <si>
    <t>30 Moderate scarlet</t>
  </si>
  <si>
    <t>31 Strong scarlet</t>
  </si>
  <si>
    <t>32 Dark scarlet</t>
  </si>
  <si>
    <t>33 Deep scarlet</t>
  </si>
  <si>
    <t>34 Very pale vermilion</t>
  </si>
  <si>
    <t>35 Pale vermilion</t>
  </si>
  <si>
    <t>36 Very light vermilion</t>
  </si>
  <si>
    <t>37 Light brilliant vermilion</t>
  </si>
  <si>
    <t>38 Luminous vivid vermilion</t>
  </si>
  <si>
    <t>39 Pale, light grayish vermilion</t>
  </si>
  <si>
    <t>40 Light vermilion</t>
  </si>
  <si>
    <t>41 Brilliant vermilion</t>
  </si>
  <si>
    <t>42 Vivid vermilion</t>
  </si>
  <si>
    <t>43 Grayish vermilion</t>
  </si>
  <si>
    <t>44 Moderate vermilion</t>
  </si>
  <si>
    <t>45 Strong vermilion</t>
  </si>
  <si>
    <t>46 Dark grayish vermilion</t>
  </si>
  <si>
    <t>47 Dark vermilion</t>
  </si>
  <si>
    <t>48 Deep vermilion</t>
  </si>
  <si>
    <t>49 Pale tangelo</t>
  </si>
  <si>
    <t>50 Very light tangelo</t>
  </si>
  <si>
    <t>51 Light brilliant tangelo</t>
  </si>
  <si>
    <t>52 Luminous vivid tangelo</t>
  </si>
  <si>
    <t>53 Light tangelo</t>
  </si>
  <si>
    <t>54 Brilliant tangelo</t>
  </si>
  <si>
    <t>55 Vivid tangelo</t>
  </si>
  <si>
    <t>56 Moderate tangelo</t>
  </si>
  <si>
    <t>57 Strong tangelo</t>
  </si>
  <si>
    <t>58 Dark tangelo</t>
  </si>
  <si>
    <t>59 Deep tangelo</t>
  </si>
  <si>
    <t>60 Very pale orange</t>
  </si>
  <si>
    <t>61 Pale orange</t>
  </si>
  <si>
    <t>62 Very light orange</t>
  </si>
  <si>
    <t>63 Light brilliant orange</t>
  </si>
  <si>
    <t>64 Luminous vivid orange</t>
  </si>
  <si>
    <t>65 Pale, light grayish brown</t>
  </si>
  <si>
    <t>66 Light orange</t>
  </si>
  <si>
    <t>67 Brilliant orange</t>
  </si>
  <si>
    <t>68 Vivid orange</t>
  </si>
  <si>
    <t>69 Grayish brown</t>
  </si>
  <si>
    <t>70 Moderate orange</t>
  </si>
  <si>
    <t>71 Strong orange</t>
  </si>
  <si>
    <t>72 Dark grayish brown</t>
  </si>
  <si>
    <t>73 Brown</t>
  </si>
  <si>
    <t>74 Deep brown</t>
  </si>
  <si>
    <t>75 Very brown</t>
  </si>
  <si>
    <t>76 Very deep brown</t>
  </si>
  <si>
    <t>77 Pale gamboge</t>
  </si>
  <si>
    <t>78 Very light gamboge</t>
  </si>
  <si>
    <t>79 Light brilliant gamboge</t>
  </si>
  <si>
    <t>80 Luminous vivid gamboge</t>
  </si>
  <si>
    <t>81 Light gamboge</t>
  </si>
  <si>
    <t>82 Brilliant gamboge</t>
  </si>
  <si>
    <t>83 Vivid gamboge</t>
  </si>
  <si>
    <t>84 Moderate gamboge</t>
  </si>
  <si>
    <t>85 Strong gamboge</t>
  </si>
  <si>
    <t>86 Dark gamboge</t>
  </si>
  <si>
    <t>87 Deep gamboge</t>
  </si>
  <si>
    <t>88 Very pale amber</t>
  </si>
  <si>
    <t>89 Pale amber</t>
  </si>
  <si>
    <t>90 Very light amber</t>
  </si>
  <si>
    <t>91 Light brilliant amber</t>
  </si>
  <si>
    <t>92 Luminous vivid amber</t>
  </si>
  <si>
    <t>93 Pale, light grayish amber</t>
  </si>
  <si>
    <t>94 Light amber</t>
  </si>
  <si>
    <t>95 Brilliant amber</t>
  </si>
  <si>
    <t>96 Vivid amber</t>
  </si>
  <si>
    <t>97 Grayish amber</t>
  </si>
  <si>
    <t>98 Moderate amber</t>
  </si>
  <si>
    <t>99 Strong amber</t>
  </si>
  <si>
    <t>100 Dark grayish amber</t>
  </si>
  <si>
    <t>101 Dark amber</t>
  </si>
  <si>
    <t>102 Deep amber</t>
  </si>
  <si>
    <t>103 Pale gold</t>
  </si>
  <si>
    <t>104 Very light gold</t>
  </si>
  <si>
    <t>105 Light brilliant gold</t>
  </si>
  <si>
    <t>106 Luminous vivid gold</t>
  </si>
  <si>
    <t>107 Light gold</t>
  </si>
  <si>
    <t>108 Brilliant gold</t>
  </si>
  <si>
    <t>109 Vivid gold</t>
  </si>
  <si>
    <t>110 Moderate gold</t>
  </si>
  <si>
    <t>111 Strong gold</t>
  </si>
  <si>
    <t>112 Dark gold</t>
  </si>
  <si>
    <t>113 Deep gold</t>
  </si>
  <si>
    <t>114 Yellowish white</t>
  </si>
  <si>
    <t>115 Very pale yellow</t>
  </si>
  <si>
    <t>116 Pale yellow</t>
  </si>
  <si>
    <t>117 Very light yellow</t>
  </si>
  <si>
    <t>118 Light brilliant yellow</t>
  </si>
  <si>
    <t>119 Luminous vivid yellow</t>
  </si>
  <si>
    <t>120 Light yellowish gray</t>
  </si>
  <si>
    <t>121 Pale, light grayish olive</t>
  </si>
  <si>
    <t>122 Light yellow</t>
  </si>
  <si>
    <t>123 Brilliant yellow</t>
  </si>
  <si>
    <t>124 Vivid yellow</t>
  </si>
  <si>
    <t>125 Yellowish gray</t>
  </si>
  <si>
    <t>126 Grayish olive</t>
  </si>
  <si>
    <t>127 Moderate olive</t>
  </si>
  <si>
    <t>128 Strong olive</t>
  </si>
  <si>
    <t>129 Dark olivish gray</t>
  </si>
  <si>
    <t>130 Dark grayish olive</t>
  </si>
  <si>
    <t>131 Dark olive</t>
  </si>
  <si>
    <t>132 Deep olive</t>
  </si>
  <si>
    <t>133 Yellowish black</t>
  </si>
  <si>
    <t>134 Very dark olive</t>
  </si>
  <si>
    <t>135 Very deep olive</t>
  </si>
  <si>
    <t>136 Pale apple green</t>
  </si>
  <si>
    <t>137 Very light apple green</t>
  </si>
  <si>
    <t>138 Light brilliant apple green</t>
  </si>
  <si>
    <t>139 Luminous vivid apple green</t>
  </si>
  <si>
    <t>140 Light apple green</t>
  </si>
  <si>
    <t>141 Brilliant apple green</t>
  </si>
  <si>
    <t>142 Vivid apple green</t>
  </si>
  <si>
    <t>143 Moderate apple green</t>
  </si>
  <si>
    <t>144 Strong apple green</t>
  </si>
  <si>
    <t>145 Dark apple green</t>
  </si>
  <si>
    <t>146 Deep apple green</t>
  </si>
  <si>
    <t>147 Very pale lime green</t>
  </si>
  <si>
    <t>148 Pale lime green</t>
  </si>
  <si>
    <t>149 Very light lime green</t>
  </si>
  <si>
    <t>150 Light brilliant lime green</t>
  </si>
  <si>
    <t>151 Luminous vivid lime green</t>
  </si>
  <si>
    <t>152 Pale, light grayish lime green</t>
  </si>
  <si>
    <t>153 Light lime green</t>
  </si>
  <si>
    <t>154 Brilliant lime green</t>
  </si>
  <si>
    <t>155 Vivid lime green</t>
  </si>
  <si>
    <t>156 Grayish lime green</t>
  </si>
  <si>
    <t>157 Moderate lime green</t>
  </si>
  <si>
    <t>158 Strong lime green</t>
  </si>
  <si>
    <t>159 Dark grayish lime green</t>
  </si>
  <si>
    <t>160 Dark lime green</t>
  </si>
  <si>
    <t>161 Deep lime green</t>
  </si>
  <si>
    <t>162 Pale spring bud</t>
  </si>
  <si>
    <t>163 Very light spring bud</t>
  </si>
  <si>
    <t>164 Light brilliant spring bud</t>
  </si>
  <si>
    <t>165 Luminous vivid spring bud</t>
  </si>
  <si>
    <t>166 Light spring bud</t>
  </si>
  <si>
    <t>167 Brilliant spring bud</t>
  </si>
  <si>
    <t>168 Vivid spring bud</t>
  </si>
  <si>
    <t>169 Moderate spring bud</t>
  </si>
  <si>
    <t>170 Strong spring bud</t>
  </si>
  <si>
    <t>171 Dark spring bud</t>
  </si>
  <si>
    <t>172 Deep spring bud</t>
  </si>
  <si>
    <t>173 Very pale chartreuse green</t>
  </si>
  <si>
    <t>174 Pale chartreuse green</t>
  </si>
  <si>
    <t>175 Very light chartreuse green</t>
  </si>
  <si>
    <t>176 Light brilliant chartreuse green</t>
  </si>
  <si>
    <t>177 Luminous vivid chartreuse green</t>
  </si>
  <si>
    <t>178 Pale, light grayish chartreuse green</t>
  </si>
  <si>
    <t>179 Light chartreuse green</t>
  </si>
  <si>
    <t>180 Brilliant chartreuse green</t>
  </si>
  <si>
    <t>181 Vivid chartreuse green</t>
  </si>
  <si>
    <t>182 Grayish chartreuse green</t>
  </si>
  <si>
    <t>183 Moderate chartreuse green</t>
  </si>
  <si>
    <t>184 Strong chartreuse green</t>
  </si>
  <si>
    <t>185 Dark grayish chartreuse green</t>
  </si>
  <si>
    <t>186 Dark chartreuse green</t>
  </si>
  <si>
    <t>187 Deep chartreuse green</t>
  </si>
  <si>
    <t>188 Very dark chartreuse green</t>
  </si>
  <si>
    <t>189 Very deep chartreuse green</t>
  </si>
  <si>
    <t>190 Pale pistachio</t>
  </si>
  <si>
    <t>191 Very light pistachio</t>
  </si>
  <si>
    <t>192 Light brilliant pistachio</t>
  </si>
  <si>
    <t>193 Luminous vivid pistachio</t>
  </si>
  <si>
    <t>194 Light pistachio</t>
  </si>
  <si>
    <t>195 Brilliant pistachio</t>
  </si>
  <si>
    <t>196 Vivid pistachio</t>
  </si>
  <si>
    <t>197 Moderate pistachio</t>
  </si>
  <si>
    <t>198 Strong pistachio</t>
  </si>
  <si>
    <t>199 Dark pistachio</t>
  </si>
  <si>
    <t>200 Deep pistachio</t>
  </si>
  <si>
    <t>201 Very pale harlequin</t>
  </si>
  <si>
    <t>202 Pale harlequin</t>
  </si>
  <si>
    <t>203 Very light harlequin</t>
  </si>
  <si>
    <t>204 Light brilliant harlequin</t>
  </si>
  <si>
    <t>205 Luminous vivid harlequin</t>
  </si>
  <si>
    <t>206 Pale, light grayish harlequin</t>
  </si>
  <si>
    <t>207 Light harlequin</t>
  </si>
  <si>
    <t>208 Brilliant harlequin</t>
  </si>
  <si>
    <t>209 Vivid harlequin</t>
  </si>
  <si>
    <t>210 Grayish harlequin</t>
  </si>
  <si>
    <t>211 Moderate harlequin</t>
  </si>
  <si>
    <t>212 Strong harlequin</t>
  </si>
  <si>
    <t>213 Dark grayish harlequin</t>
  </si>
  <si>
    <t>214 Dark harlequin</t>
  </si>
  <si>
    <t>215 Deep harlequin</t>
  </si>
  <si>
    <t>216 Pale sap green</t>
  </si>
  <si>
    <t>217 Very light sap green</t>
  </si>
  <si>
    <t>218 Light brilliant sap green</t>
  </si>
  <si>
    <t>219 Luminous vivid sap green</t>
  </si>
  <si>
    <t>220 Light sap green</t>
  </si>
  <si>
    <t>221 Brilliant sap green</t>
  </si>
  <si>
    <t>222 Vivid sap green</t>
  </si>
  <si>
    <t>223 Moderate sap green</t>
  </si>
  <si>
    <t>224 Strong sap green</t>
  </si>
  <si>
    <t>225 Dark sap green</t>
  </si>
  <si>
    <t>226 Deep sap green</t>
  </si>
  <si>
    <t>227 Greenish white</t>
  </si>
  <si>
    <t>228 Very pale green</t>
  </si>
  <si>
    <t>229 Pale green</t>
  </si>
  <si>
    <t>230 Very light green</t>
  </si>
  <si>
    <t>231 Light brilliant green</t>
  </si>
  <si>
    <t>232 Luminous vivid green</t>
  </si>
  <si>
    <t>233 Light greenish gray</t>
  </si>
  <si>
    <t>234 Pale, light grayish green</t>
  </si>
  <si>
    <t>235 Light green</t>
  </si>
  <si>
    <t>236 Brilliant green</t>
  </si>
  <si>
    <t>237 Vivid green</t>
  </si>
  <si>
    <t>238 Greenish gray</t>
  </si>
  <si>
    <t>239 Grayish green</t>
  </si>
  <si>
    <t>240 Moderate green</t>
  </si>
  <si>
    <t>241 Strong green</t>
  </si>
  <si>
    <t>242 Dark greenish gray</t>
  </si>
  <si>
    <t>243 Dark grayish green</t>
  </si>
  <si>
    <t>244 Dark green</t>
  </si>
  <si>
    <t>245 Deep green</t>
  </si>
  <si>
    <t>246 Greenish black</t>
  </si>
  <si>
    <t>247 Very dark green</t>
  </si>
  <si>
    <t>248 Very deep green</t>
  </si>
  <si>
    <t>249 Pale emerald green</t>
  </si>
  <si>
    <t>250 Very light emerald green</t>
  </si>
  <si>
    <t>251 Light brilliant emerald green</t>
  </si>
  <si>
    <t>252 Luminous vivid emerald green</t>
  </si>
  <si>
    <t>253 Light emerald green</t>
  </si>
  <si>
    <t>254 Brilliant emerald green</t>
  </si>
  <si>
    <t>255 Vivid emerald green</t>
  </si>
  <si>
    <t>256 Moderate emerald green</t>
  </si>
  <si>
    <t>257 Strong emerald green</t>
  </si>
  <si>
    <t>258 Dark emerald green</t>
  </si>
  <si>
    <t>259 Deep emerald green</t>
  </si>
  <si>
    <t>260 Very pale malachite green</t>
  </si>
  <si>
    <t>261 Pale malachite green</t>
  </si>
  <si>
    <t>262 Very light malachite green</t>
  </si>
  <si>
    <t>263 Light brilliant malachite green</t>
  </si>
  <si>
    <t>264 Luminous vivid malachite green</t>
  </si>
  <si>
    <t>265 Pale, light grayish malachite green</t>
  </si>
  <si>
    <t>266 Light malachite green</t>
  </si>
  <si>
    <t>267 Brilliant malachite green</t>
  </si>
  <si>
    <t>268 Vivid malachite green</t>
  </si>
  <si>
    <t>269 Grayish malachite green</t>
  </si>
  <si>
    <t>270 Moderate malachite green</t>
  </si>
  <si>
    <t>271 Strong malachite green</t>
  </si>
  <si>
    <t>272 Dark grayish malachite green</t>
  </si>
  <si>
    <t>273 Dark malachite green</t>
  </si>
  <si>
    <t>274 Deep malachite green</t>
  </si>
  <si>
    <t>275 Pale sea green</t>
  </si>
  <si>
    <t>276 Very light sea green</t>
  </si>
  <si>
    <t>277 Light brilliant sea green</t>
  </si>
  <si>
    <t>278 Luminous vivid sea green</t>
  </si>
  <si>
    <t>279 Light sea green</t>
  </si>
  <si>
    <t>280 Brilliant sea green</t>
  </si>
  <si>
    <t>281 Vivid sea green</t>
  </si>
  <si>
    <t>282 Moderate sea green</t>
  </si>
  <si>
    <t>283 Strong sea green</t>
  </si>
  <si>
    <t>284 Dark sea green</t>
  </si>
  <si>
    <t>285 Deep sea green</t>
  </si>
  <si>
    <t>286 Very pale spring green</t>
  </si>
  <si>
    <t>287 Pale spring green</t>
  </si>
  <si>
    <t>288 Very light spring green</t>
  </si>
  <si>
    <t>289 Light brilliant spring green</t>
  </si>
  <si>
    <t>290 Luminous vivid spring green</t>
  </si>
  <si>
    <t>291 Pale, light grayish spring green</t>
  </si>
  <si>
    <t>292 Light spring green</t>
  </si>
  <si>
    <t>293 Brilliant spring green</t>
  </si>
  <si>
    <t>294 Vivid spring green</t>
  </si>
  <si>
    <t>295 Grayish spring green</t>
  </si>
  <si>
    <t>296 Moderate spring green</t>
  </si>
  <si>
    <t>297 Strong spring green</t>
  </si>
  <si>
    <t>298 Dark grayish spring green</t>
  </si>
  <si>
    <t>299 Dark spring green</t>
  </si>
  <si>
    <t>300 Deep spring green</t>
  </si>
  <si>
    <t>301 Very dark spring green</t>
  </si>
  <si>
    <t>302 Very deep spring green</t>
  </si>
  <si>
    <t>303 Pale aquamarine</t>
  </si>
  <si>
    <t>304 Very light aquamarine</t>
  </si>
  <si>
    <t>305 Light brilliant aquamarine</t>
  </si>
  <si>
    <t>306 Luminous vivid aquamarine</t>
  </si>
  <si>
    <t>307 Light aquamarine</t>
  </si>
  <si>
    <t>308 Brilliant aquamarine</t>
  </si>
  <si>
    <t>309 Vivid aquamarine</t>
  </si>
  <si>
    <t>310 Moderate aquamarine</t>
  </si>
  <si>
    <t>311 Strong aquamarine</t>
  </si>
  <si>
    <t>312 Dark aquamarine</t>
  </si>
  <si>
    <t>313 Deep aquamarine</t>
  </si>
  <si>
    <t>314 Very pale turquoise</t>
  </si>
  <si>
    <t>315 Pale turquoise</t>
  </si>
  <si>
    <t>316 Very light turquoise</t>
  </si>
  <si>
    <t>317 Light brilliant turquoise</t>
  </si>
  <si>
    <t>318 Luminous vivid turquoise</t>
  </si>
  <si>
    <t>319 Pale, light grayish turquoise</t>
  </si>
  <si>
    <t>320 Light turquoise</t>
  </si>
  <si>
    <t>321 Brilliant turquoise</t>
  </si>
  <si>
    <t>322 Vivid turquoise</t>
  </si>
  <si>
    <t>323 Grayish turquoise</t>
  </si>
  <si>
    <t>324 Moderate turquoise</t>
  </si>
  <si>
    <t>325 Strong turquoise</t>
  </si>
  <si>
    <t>326 Dark grayish turquoise</t>
  </si>
  <si>
    <t>327 Dark turquoise</t>
  </si>
  <si>
    <t>328 Deep turquoise</t>
  </si>
  <si>
    <t>329 Pale opal</t>
  </si>
  <si>
    <t>330 Very light opal</t>
  </si>
  <si>
    <t>331 Light brilliant opal</t>
  </si>
  <si>
    <t>332 Luminous vivid opal</t>
  </si>
  <si>
    <t>333 Light opal</t>
  </si>
  <si>
    <t>334 Brilliant opal</t>
  </si>
  <si>
    <t>335 Vivid opal</t>
  </si>
  <si>
    <t>336 Moderate opal</t>
  </si>
  <si>
    <t>337 Strong opal</t>
  </si>
  <si>
    <t>338 Dark opal</t>
  </si>
  <si>
    <t>339 Deep opal</t>
  </si>
  <si>
    <t>340 Cyanish white</t>
  </si>
  <si>
    <t>341 Very pale cyan</t>
  </si>
  <si>
    <t>342 Pale cyan</t>
  </si>
  <si>
    <t>343 Very light cyan</t>
  </si>
  <si>
    <t>344 Light brilliant cyan</t>
  </si>
  <si>
    <t>345 Luminous vivid cyan</t>
  </si>
  <si>
    <t>346 Light cyanish gray</t>
  </si>
  <si>
    <t>347 Pale, light grayish cyan</t>
  </si>
  <si>
    <t>348 Light cyan</t>
  </si>
  <si>
    <t>349 Brilliant cyan</t>
  </si>
  <si>
    <t>350 Vivid cyan</t>
  </si>
  <si>
    <t>351 Cyanish gray</t>
  </si>
  <si>
    <t>352 Grayish cyan</t>
  </si>
  <si>
    <t>353 Moderate cyan</t>
  </si>
  <si>
    <t>354 Strong cyan</t>
  </si>
  <si>
    <t>355 Dark cyanish gray</t>
  </si>
  <si>
    <t>356 Dark grayish cyan</t>
  </si>
  <si>
    <t>357 Dark cyan</t>
  </si>
  <si>
    <t>358 Deep cyan</t>
  </si>
  <si>
    <t>359 Cyanish black</t>
  </si>
  <si>
    <t>360 Very dark cyan</t>
  </si>
  <si>
    <t>361 Very deep cyan</t>
  </si>
  <si>
    <t>362 Pale arctic blue</t>
  </si>
  <si>
    <t>363 Very light arctic blue</t>
  </si>
  <si>
    <t>364 Light brilliant arctic blue</t>
  </si>
  <si>
    <t>365 Luminous vivid arctic blue</t>
  </si>
  <si>
    <t>366 Light arctic blue</t>
  </si>
  <si>
    <t>367 Brilliant arctic blue</t>
  </si>
  <si>
    <t>368 Vivid arctic blue</t>
  </si>
  <si>
    <t>369 Moderate arctic blue</t>
  </si>
  <si>
    <t>370 Strong arctic blue</t>
  </si>
  <si>
    <t>371 Dark arctic blue</t>
  </si>
  <si>
    <t>372 Deep arctic blue</t>
  </si>
  <si>
    <t>373 Very pale cerulean</t>
  </si>
  <si>
    <t>374 Pale cerulean</t>
  </si>
  <si>
    <t>375 Very light cerulean</t>
  </si>
  <si>
    <t>376 Light brilliant cerulean</t>
  </si>
  <si>
    <t>377 Luminous vivid cerulean</t>
  </si>
  <si>
    <t>378 Pale, light grayish cerulean</t>
  </si>
  <si>
    <t>379 Light cerulean</t>
  </si>
  <si>
    <t>380 Brilliant cerulean</t>
  </si>
  <si>
    <t>381 Vivid cerulean</t>
  </si>
  <si>
    <t>382 Grayish cerulean</t>
  </si>
  <si>
    <t>383 Moderate cerulean</t>
  </si>
  <si>
    <t>384 Strong cerulean</t>
  </si>
  <si>
    <t>385 Dark grayish cerulean</t>
  </si>
  <si>
    <t>386 Dark cerulean</t>
  </si>
  <si>
    <t>387 Deep cerulean</t>
  </si>
  <si>
    <t>388 Pale cornflower blue</t>
  </si>
  <si>
    <t>389 Very light cornflower blue</t>
  </si>
  <si>
    <t>390 Light brilliant cornflower blue</t>
  </si>
  <si>
    <t>391 Luminous vivid cornflower blue</t>
  </si>
  <si>
    <t>392 Light cornflower blue</t>
  </si>
  <si>
    <t>393 Brilliant cornflower blue</t>
  </si>
  <si>
    <t>394 Vivid cornflower blue</t>
  </si>
  <si>
    <t>395 Moderate cornflower blue</t>
  </si>
  <si>
    <t>396 Strong cornflower blue</t>
  </si>
  <si>
    <t>397 Dark cornflower blue</t>
  </si>
  <si>
    <t>398 Deep cornflower blue</t>
  </si>
  <si>
    <t>399 Very pale azure</t>
  </si>
  <si>
    <t>400 Pale azure</t>
  </si>
  <si>
    <t>401 Very light azure</t>
  </si>
  <si>
    <t>402 Light brilliant azure</t>
  </si>
  <si>
    <t>403 Luminous vivid azure</t>
  </si>
  <si>
    <t>404 Pale, light grayish azure</t>
  </si>
  <si>
    <t>405 Light azure</t>
  </si>
  <si>
    <t>406 Brilliant azure</t>
  </si>
  <si>
    <t>407 Vivid azure</t>
  </si>
  <si>
    <t>408 Grayish azure</t>
  </si>
  <si>
    <t>409 Moderate azure</t>
  </si>
  <si>
    <t>410 Strong azure</t>
  </si>
  <si>
    <t>411 Dark grayish azure</t>
  </si>
  <si>
    <t>412 Dark azure</t>
  </si>
  <si>
    <t>413 Deep azure</t>
  </si>
  <si>
    <t>414 Very dark azure</t>
  </si>
  <si>
    <t>415 Very deep azure</t>
  </si>
  <si>
    <t>416 Pale cobalt blue</t>
  </si>
  <si>
    <t>417 Very light cobalt blue</t>
  </si>
  <si>
    <t>418 Light brilliant cobalt blue</t>
  </si>
  <si>
    <t>419 Luminous vivid cobalt blue</t>
  </si>
  <si>
    <t>420 Light cobalt blue</t>
  </si>
  <si>
    <t>421 Brilliant cobalt blue</t>
  </si>
  <si>
    <t>422 Vivid cobalt blue</t>
  </si>
  <si>
    <t>423 Moderate cobalt blue</t>
  </si>
  <si>
    <t>424 Strong cobalt blue</t>
  </si>
  <si>
    <t>425 Dark cobalt blue</t>
  </si>
  <si>
    <t>426 Deep cobalt blue</t>
  </si>
  <si>
    <t>427 Very pale sapphire blue</t>
  </si>
  <si>
    <t>428 Pale sapphire blue</t>
  </si>
  <si>
    <t>429 Very light sapphire blue</t>
  </si>
  <si>
    <t>430 Light brilliant sapphire blue</t>
  </si>
  <si>
    <t>431 Luminous vivid sapphire blue</t>
  </si>
  <si>
    <t>432 Pale, light grayish sapphire blue</t>
  </si>
  <si>
    <t>433 Light sapphire blue</t>
  </si>
  <si>
    <t>434 Brilliant sapphire blue</t>
  </si>
  <si>
    <t>435 Vivid sapphire blue</t>
  </si>
  <si>
    <t>436 Grayish sapphire blue</t>
  </si>
  <si>
    <t>437 Moderate sapphire blue</t>
  </si>
  <si>
    <t>438 Strong sapphire blue</t>
  </si>
  <si>
    <t>439 Dark grayish sapphire blue</t>
  </si>
  <si>
    <t>440 Dark sapphire blue</t>
  </si>
  <si>
    <t>441 Deep sapphire blue</t>
  </si>
  <si>
    <t>442 Pale phthalo blue</t>
  </si>
  <si>
    <t>443 Very light phthalo blue</t>
  </si>
  <si>
    <t>444 Light brilliant phthalo blue</t>
  </si>
  <si>
    <t>445 Luminous vivid phthalo blue</t>
  </si>
  <si>
    <t>446 Light phthalo blue</t>
  </si>
  <si>
    <t>447 Brilliant phthalo blue</t>
  </si>
  <si>
    <t>448 Vivid phthalo blue</t>
  </si>
  <si>
    <t>449 Moderate phthalo blue</t>
  </si>
  <si>
    <t>450 Strong phthalo blue</t>
  </si>
  <si>
    <t>451 Dark phthalo blue</t>
  </si>
  <si>
    <t>452 Deep phthalo blue</t>
  </si>
  <si>
    <t>453 Bluish white</t>
  </si>
  <si>
    <t>454 Very pale blue</t>
  </si>
  <si>
    <t>455 Pale blue</t>
  </si>
  <si>
    <t>456 Very light blue</t>
  </si>
  <si>
    <t>457 Light brilliant blue</t>
  </si>
  <si>
    <t>458 Luminous vivid blue</t>
  </si>
  <si>
    <t>459 Light bluish gray</t>
  </si>
  <si>
    <t>460 Pale, light grayish blue</t>
  </si>
  <si>
    <t>461 Light blue</t>
  </si>
  <si>
    <t>462 Brilliant blue</t>
  </si>
  <si>
    <t>463 Vivid blue</t>
  </si>
  <si>
    <t>464 Bluish gray</t>
  </si>
  <si>
    <t>465 Grayish blue</t>
  </si>
  <si>
    <t>466 Moderate blue</t>
  </si>
  <si>
    <t>467 Strong blue</t>
  </si>
  <si>
    <t>468 Dark bluish gray</t>
  </si>
  <si>
    <t>469 Dark grayish blue</t>
  </si>
  <si>
    <t>470 Dark blue</t>
  </si>
  <si>
    <t>471 Deep blue</t>
  </si>
  <si>
    <t>472 Bluish black</t>
  </si>
  <si>
    <t>473 Very dark blue</t>
  </si>
  <si>
    <t>474 Very deep blue</t>
  </si>
  <si>
    <t>475 Pale persian blue</t>
  </si>
  <si>
    <t>476 Very light persian blue</t>
  </si>
  <si>
    <t>477 Light brilliant persian blue</t>
  </si>
  <si>
    <t>478 Luminous vivid persian blue</t>
  </si>
  <si>
    <t>479 Light persian blue</t>
  </si>
  <si>
    <t>480 Brilliant persian blue</t>
  </si>
  <si>
    <t>481 Vivid persian blue</t>
  </si>
  <si>
    <t>482 Moderate persian blue</t>
  </si>
  <si>
    <t>483 Strong persian blue</t>
  </si>
  <si>
    <t>484 Dark persian blue</t>
  </si>
  <si>
    <t>485 Deep persian blue</t>
  </si>
  <si>
    <t>486 Very pale indigo</t>
  </si>
  <si>
    <t>487 Pale indigo</t>
  </si>
  <si>
    <t>488 Very light indigo</t>
  </si>
  <si>
    <t>489 Light brilliant indigo</t>
  </si>
  <si>
    <t>490 Luminous vivid indigo</t>
  </si>
  <si>
    <t>491 Pale, light grayish indigo</t>
  </si>
  <si>
    <t>492 Light indigo</t>
  </si>
  <si>
    <t>493 Brilliant indigo</t>
  </si>
  <si>
    <t>494 Vivid indigo</t>
  </si>
  <si>
    <t>495 Grayish indigo</t>
  </si>
  <si>
    <t>496 Moderate indigo</t>
  </si>
  <si>
    <t>497 Strong indigo</t>
  </si>
  <si>
    <t>498 Dark grayish indigo</t>
  </si>
  <si>
    <t>499 Dark indigo</t>
  </si>
  <si>
    <t>500 Deep indigo</t>
  </si>
  <si>
    <t>501 Pale blue violet</t>
  </si>
  <si>
    <t>502 Very light blue violet</t>
  </si>
  <si>
    <t>503 Light brilliant blue violet</t>
  </si>
  <si>
    <t>504 Luminous vivid blue violet</t>
  </si>
  <si>
    <t>505 Light blue violet</t>
  </si>
  <si>
    <t>506 Brilliant blue violet</t>
  </si>
  <si>
    <t>507 Vivid blue violet</t>
  </si>
  <si>
    <t>508 Moderate blue violet</t>
  </si>
  <si>
    <t>509 Strong blue violet</t>
  </si>
  <si>
    <t>510 Dark blue violet</t>
  </si>
  <si>
    <t>511 Deep blue violet</t>
  </si>
  <si>
    <t>512 Very pale violet</t>
  </si>
  <si>
    <t>513 Pale violet</t>
  </si>
  <si>
    <t>514 Very light violet</t>
  </si>
  <si>
    <t>515 Light brilliant violet</t>
  </si>
  <si>
    <t>516 Luminous vivid violet</t>
  </si>
  <si>
    <t>517 Pale, light grayish violet</t>
  </si>
  <si>
    <t>518 Light violet</t>
  </si>
  <si>
    <t>519 Brilliant violet</t>
  </si>
  <si>
    <t>520 Vivid violet</t>
  </si>
  <si>
    <t>521 Grayish violet</t>
  </si>
  <si>
    <t>522 Moderate violet</t>
  </si>
  <si>
    <t>523 Strong violet</t>
  </si>
  <si>
    <t>524 Dark grayish violet</t>
  </si>
  <si>
    <t>525 Dark violet</t>
  </si>
  <si>
    <t>526 Deep violet</t>
  </si>
  <si>
    <t>527 Very dark violet</t>
  </si>
  <si>
    <t>528 Very deep violet</t>
  </si>
  <si>
    <t>529 Pale purple</t>
  </si>
  <si>
    <t>530 Very light purple</t>
  </si>
  <si>
    <t>531 Light brilliant purple</t>
  </si>
  <si>
    <t>532 Luminous vivid purple</t>
  </si>
  <si>
    <t>533 Light purple</t>
  </si>
  <si>
    <t>534 Brilliant purple</t>
  </si>
  <si>
    <t>535 Vivid purple</t>
  </si>
  <si>
    <t>536 Moderate purple</t>
  </si>
  <si>
    <t>537 Strong purple</t>
  </si>
  <si>
    <t>538 Dark purple</t>
  </si>
  <si>
    <t>539 Deep purple</t>
  </si>
  <si>
    <t>540 Very pale mulberry</t>
  </si>
  <si>
    <t>541 Pale mulberry</t>
  </si>
  <si>
    <t>542 Very light mulberry</t>
  </si>
  <si>
    <t>543 Light brilliant mulberry</t>
  </si>
  <si>
    <t>544 Luminous vivid mulberry</t>
  </si>
  <si>
    <t>545 Pale, light grayish mulberry</t>
  </si>
  <si>
    <t>546 Light mulberry</t>
  </si>
  <si>
    <t>547 Brilliant mulberry</t>
  </si>
  <si>
    <t>548 Vivid mulberry</t>
  </si>
  <si>
    <t>549 Grayish mulberry</t>
  </si>
  <si>
    <t>550 Moderate mulberry</t>
  </si>
  <si>
    <t>551 Strong mulberry</t>
  </si>
  <si>
    <t>552 Dark grayish mulberry</t>
  </si>
  <si>
    <t>553 Dark mulberry</t>
  </si>
  <si>
    <t>554 Deep mulberry</t>
  </si>
  <si>
    <t>555 Pale heliotrope</t>
  </si>
  <si>
    <t>556 Very light heliotrope</t>
  </si>
  <si>
    <t>557 Light brilliant heliotrope</t>
  </si>
  <si>
    <t>558 Luminous vivid heliotrope</t>
  </si>
  <si>
    <t>559 Light heliotrope</t>
  </si>
  <si>
    <t>560 Brilliant heliotrope</t>
  </si>
  <si>
    <t>561 Vivid heliotrope</t>
  </si>
  <si>
    <t>562 Moderate heliotrope</t>
  </si>
  <si>
    <t>563 Strong heliotrope</t>
  </si>
  <si>
    <t>564 Dark heliotrope</t>
  </si>
  <si>
    <t>565 Deep heliotrope</t>
  </si>
  <si>
    <t>566 Magentaish white</t>
  </si>
  <si>
    <t>567 Very pale magenta</t>
  </si>
  <si>
    <t>568 Pale magenta</t>
  </si>
  <si>
    <t>569 Very light magenta</t>
  </si>
  <si>
    <t>570 Light brilliant magenta</t>
  </si>
  <si>
    <t>571 Luminous vivid magenta</t>
  </si>
  <si>
    <t>572 Light magentaish gray</t>
  </si>
  <si>
    <t>573 Pale, light grayish magenta</t>
  </si>
  <si>
    <t>574 Light magenta</t>
  </si>
  <si>
    <t>575 Brilliant magenta</t>
  </si>
  <si>
    <t>576 Vivid magenta</t>
  </si>
  <si>
    <t>577 Magentaish gray</t>
  </si>
  <si>
    <t>578 Grayish magenta</t>
  </si>
  <si>
    <t>579 Moderate magenta</t>
  </si>
  <si>
    <t>580 Strong magenta</t>
  </si>
  <si>
    <t>581 Dark magentaish gray</t>
  </si>
  <si>
    <t>582 Dark grayish magenta</t>
  </si>
  <si>
    <t>583 Dark magenta</t>
  </si>
  <si>
    <t>584 Deep magenta</t>
  </si>
  <si>
    <t>585 Magentaish black</t>
  </si>
  <si>
    <t>586 Very dark magenta</t>
  </si>
  <si>
    <t>587 Very deep magenta</t>
  </si>
  <si>
    <t>588 Pale orchid</t>
  </si>
  <si>
    <t>589 Very light orchid</t>
  </si>
  <si>
    <t>590 Light brilliant orchid</t>
  </si>
  <si>
    <t>591 Luminous vivid orchid</t>
  </si>
  <si>
    <t>592 Light orchid</t>
  </si>
  <si>
    <t>593 Brilliant orchid</t>
  </si>
  <si>
    <t>594 Vivid orchid</t>
  </si>
  <si>
    <t>595 Moderate orchid</t>
  </si>
  <si>
    <t>596 Strong orchid</t>
  </si>
  <si>
    <t>597 Dark orchid</t>
  </si>
  <si>
    <t>598 Deep orchid</t>
  </si>
  <si>
    <t>599 Very pale fuchsia</t>
  </si>
  <si>
    <t>600 Pale fuchsia</t>
  </si>
  <si>
    <t>601 Very light fuchsia</t>
  </si>
  <si>
    <t>602 Light brilliant fuchsia</t>
  </si>
  <si>
    <t>603 Luminous vivid fuchsia</t>
  </si>
  <si>
    <t>604 Pale, light grayish fuchsia</t>
  </si>
  <si>
    <t>605 Light fuchsia</t>
  </si>
  <si>
    <t>606 Brilliant fuchsia</t>
  </si>
  <si>
    <t>607 Vivid fuchsia</t>
  </si>
  <si>
    <t>608 Grayish fuchsia</t>
  </si>
  <si>
    <t>609 Moderate fuchsia</t>
  </si>
  <si>
    <t>610 Strong fuchsia</t>
  </si>
  <si>
    <t>611 Dark grayish fuchsia</t>
  </si>
  <si>
    <t>612 Dark fuchsia</t>
  </si>
  <si>
    <t>613 Deep fuchsia</t>
  </si>
  <si>
    <t>614 Pale cerise</t>
  </si>
  <si>
    <t>615 Very light cerise</t>
  </si>
  <si>
    <t>616 Light brilliant cerise</t>
  </si>
  <si>
    <t>617 Luminous vivid cerise</t>
  </si>
  <si>
    <t>618 Light cerise</t>
  </si>
  <si>
    <t>619 Brilliant cerise</t>
  </si>
  <si>
    <t>620 Vivid cerise</t>
  </si>
  <si>
    <t>621 Moderate cerise</t>
  </si>
  <si>
    <t>622 Strong cerise</t>
  </si>
  <si>
    <t>623 Dark cerise</t>
  </si>
  <si>
    <t>624 Deep cerise</t>
  </si>
  <si>
    <t>625 Very pale rose</t>
  </si>
  <si>
    <t>626 Pale rose</t>
  </si>
  <si>
    <t>627 Very light rose</t>
  </si>
  <si>
    <t>628 Light brilliant rose</t>
  </si>
  <si>
    <t>629 Luminous vivid rose</t>
  </si>
  <si>
    <t>630 Pale, light grayish rose</t>
  </si>
  <si>
    <t>631 Light rose</t>
  </si>
  <si>
    <t>632 Brilliant rose</t>
  </si>
  <si>
    <t>633 Vivid rose</t>
  </si>
  <si>
    <t>634 Grayish rose</t>
  </si>
  <si>
    <t>635 Moderate rose</t>
  </si>
  <si>
    <t>636 Strong rose</t>
  </si>
  <si>
    <t>637 Dark grayish rose</t>
  </si>
  <si>
    <t>638 Dark rose</t>
  </si>
  <si>
    <t>639 Deep rose</t>
  </si>
  <si>
    <t>640 Very dark rose</t>
  </si>
  <si>
    <t>641 Very deep rose</t>
  </si>
  <si>
    <t>642 Pale raspberry</t>
  </si>
  <si>
    <t>643 Very light raspberry</t>
  </si>
  <si>
    <t>644 Light brilliant raspberry</t>
  </si>
  <si>
    <t>645 Luminous vivid raspberry</t>
  </si>
  <si>
    <t>646 Light raspberry</t>
  </si>
  <si>
    <t>647 Brilliant raspberry</t>
  </si>
  <si>
    <t>648 Vivid raspberry</t>
  </si>
  <si>
    <t>649 Moderate raspberry</t>
  </si>
  <si>
    <t>650 Strong raspberry</t>
  </si>
  <si>
    <t>651 Dark raspberry</t>
  </si>
  <si>
    <t>652 Deep raspberry</t>
  </si>
  <si>
    <t>653 Very pale crimson</t>
  </si>
  <si>
    <t>654 Pale crimson</t>
  </si>
  <si>
    <t>655 Very light crimson</t>
  </si>
  <si>
    <t>656 Light brilliant crimson</t>
  </si>
  <si>
    <t>657 Luminous vivid crimson</t>
  </si>
  <si>
    <t>658 Pale, light grayish crimson</t>
  </si>
  <si>
    <t>659 Light crimson</t>
  </si>
  <si>
    <t>660 Brilliant crimson</t>
  </si>
  <si>
    <t>661 Vivid crimson</t>
  </si>
  <si>
    <t>662 Grayish crimson</t>
  </si>
  <si>
    <t>663 Moderate crimson</t>
  </si>
  <si>
    <t>664 Strong crimson</t>
  </si>
  <si>
    <t>665 Dark grayish crimson</t>
  </si>
  <si>
    <t>666 Dark crimson</t>
  </si>
  <si>
    <t>667 Deep crimson</t>
  </si>
  <si>
    <t>668 Pale amaranth</t>
  </si>
  <si>
    <t>669 Very light amaranth</t>
  </si>
  <si>
    <t>670 Light brilliant amaranth</t>
  </si>
  <si>
    <t>671 Luminous vivid amaranth</t>
  </si>
  <si>
    <t>672 Light amaranth</t>
  </si>
  <si>
    <t>673 Brilliant amaranth</t>
  </si>
  <si>
    <t>674 Vivid amaranth</t>
  </si>
  <si>
    <t>675 Moderate amaranth</t>
  </si>
  <si>
    <t>676 Strong amaranth</t>
  </si>
  <si>
    <t>677 Dark amaranth</t>
  </si>
  <si>
    <t>678 Deep amaranth</t>
  </si>
  <si>
    <t>HUE 70+ = light</t>
  </si>
  <si>
    <t>Hue 0-39 = dark</t>
  </si>
  <si>
    <t>Hue 40-69 = medium</t>
  </si>
  <si>
    <t>how about grey colors? If saturation is less than 40 also darkish color?</t>
  </si>
  <si>
    <t>LIghtness 70+ = light</t>
  </si>
  <si>
    <t>Skintype</t>
  </si>
  <si>
    <t>Texture</t>
  </si>
  <si>
    <t>Gloss</t>
  </si>
  <si>
    <t>Formulation</t>
  </si>
  <si>
    <t>Powder</t>
  </si>
  <si>
    <t>Benefits</t>
  </si>
  <si>
    <t>Skintone brightening</t>
  </si>
  <si>
    <t>All</t>
  </si>
  <si>
    <t>Coverage</t>
  </si>
  <si>
    <t>Natural</t>
  </si>
  <si>
    <t>type 2</t>
  </si>
  <si>
    <t>Reviews</t>
  </si>
  <si>
    <t>Blush</t>
  </si>
  <si>
    <t>Price</t>
  </si>
  <si>
    <t>￥420</t>
  </si>
  <si>
    <t>Lip Gloss</t>
  </si>
  <si>
    <t>Gel</t>
  </si>
  <si>
    <t>Moisturizing</t>
  </si>
  <si>
    <t>￥295</t>
  </si>
  <si>
    <t>￥310</t>
  </si>
  <si>
    <t>Solid</t>
  </si>
  <si>
    <t>Lip Balm</t>
  </si>
  <si>
    <t>wrinkle reduction</t>
  </si>
  <si>
    <t>Benefits 2</t>
  </si>
  <si>
    <t>Benefits 3</t>
  </si>
  <si>
    <t>SPF10</t>
  </si>
  <si>
    <t>Eyeliner</t>
  </si>
  <si>
    <t>water proof</t>
  </si>
  <si>
    <t>-</t>
  </si>
  <si>
    <t>￥215</t>
  </si>
  <si>
    <t>￥225</t>
  </si>
  <si>
    <t>Eyebrow pencil</t>
  </si>
  <si>
    <t>￥300</t>
  </si>
  <si>
    <t>Matte</t>
  </si>
  <si>
    <t>Lip glaze</t>
  </si>
  <si>
    <t>￥320</t>
  </si>
  <si>
    <t>Look style</t>
  </si>
  <si>
    <t>Radiant</t>
  </si>
  <si>
    <t>High</t>
  </si>
  <si>
    <t>￥315</t>
  </si>
  <si>
    <t>Lipstick</t>
  </si>
  <si>
    <t>￥340</t>
  </si>
  <si>
    <t>Prep or prime lips before lipstick</t>
  </si>
  <si>
    <t>Added shine</t>
  </si>
  <si>
    <t>Usually alone but can be also used for blending lipstick and lipliner</t>
  </si>
  <si>
    <t>Light</t>
  </si>
  <si>
    <t>Thicker</t>
  </si>
  <si>
    <t>SPF</t>
  </si>
  <si>
    <t>Lipliner</t>
  </si>
  <si>
    <t>Always same color as any of the above category</t>
  </si>
  <si>
    <t>Natural look</t>
  </si>
  <si>
    <t>Brow Styler</t>
  </si>
  <si>
    <t>￥240</t>
  </si>
  <si>
    <t>￥235</t>
  </si>
  <si>
    <t>￥350</t>
  </si>
  <si>
    <t>Satin</t>
  </si>
  <si>
    <t>￥330</t>
  </si>
  <si>
    <t>Vertical lip lines</t>
  </si>
  <si>
    <t>SFP10</t>
  </si>
  <si>
    <t>Lip Glaze</t>
  </si>
  <si>
    <t>lighter than lip gloss</t>
  </si>
  <si>
    <t>Category 1</t>
  </si>
  <si>
    <t>Category 2</t>
  </si>
  <si>
    <t>Facial makeup</t>
  </si>
  <si>
    <t>Lips</t>
  </si>
  <si>
    <t>Eyes</t>
  </si>
  <si>
    <t>￥430</t>
  </si>
  <si>
    <t>Metallic</t>
  </si>
  <si>
    <t>Liquid</t>
  </si>
  <si>
    <t>Lquid</t>
  </si>
  <si>
    <t>Lip plumping</t>
  </si>
  <si>
    <t>hsl</t>
  </si>
  <si>
    <t>hsl(4,85.3%,73.3%)</t>
  </si>
  <si>
    <t>hsl(343,64.8%,68.8%)</t>
  </si>
  <si>
    <t>hsl(3,77.4%,67.1%)</t>
  </si>
  <si>
    <t>hsl(8,56.8%,72.7%)</t>
  </si>
  <si>
    <t>hsl(359,71.4%,72.5%)</t>
  </si>
  <si>
    <t>hsl(352,79.7%,65.3%)</t>
  </si>
  <si>
    <t>hsl(9,78.9%,73.9%)</t>
  </si>
  <si>
    <t>hsl(353,72.5%,67.3%)</t>
  </si>
  <si>
    <t>hsl(3,44.7%,81.6%)</t>
  </si>
  <si>
    <t>hsl(1,97.9%,81.6%)</t>
  </si>
  <si>
    <t>hsl(0,0%,0.0%)</t>
  </si>
  <si>
    <t>hsl(21,41.2%,53.3%)</t>
  </si>
  <si>
    <t>hsl(0,0%,9.0%)</t>
  </si>
  <si>
    <t>hsl(15,20.4%,19.2%)</t>
  </si>
  <si>
    <t>hsl(359,97.6%,67.8%)</t>
  </si>
  <si>
    <t>hsl(329,95.3%,74.7%)</t>
  </si>
  <si>
    <t>hsl(350,88.8%,61.4%)</t>
  </si>
  <si>
    <t>hsl(279,87.2%,81.6%)</t>
  </si>
  <si>
    <t>hsl(302,100.0%,64.5%)</t>
  </si>
  <si>
    <t>hsl(9,100.0%,67.3%)</t>
  </si>
  <si>
    <t>hsl(355,78.9%,64.7%)</t>
  </si>
  <si>
    <t>hsl(19,85.5%,83.7%)</t>
  </si>
  <si>
    <t>hsl(1,79.8%,63.1%)</t>
  </si>
  <si>
    <t>hsl(15,80.4%,60.0%)</t>
  </si>
  <si>
    <t>hsl(356,60.2%,49.2%)</t>
  </si>
  <si>
    <t>hsl(346,71.1%,51.2%)</t>
  </si>
  <si>
    <t>hsl(5,55.8%,64.5%)</t>
  </si>
  <si>
    <t>hsl(344,67.6%,47.3%)</t>
  </si>
  <si>
    <t>hsl(12,47.1%,40.8%)</t>
  </si>
  <si>
    <t>hsl(348,98.9%,35.9%)</t>
  </si>
  <si>
    <t>hsl(358,48.8%,40.6%)</t>
  </si>
  <si>
    <t>hsl(346,70.9%,48.4%)</t>
  </si>
  <si>
    <t>hsl(352,75.7%,72.5%)</t>
  </si>
  <si>
    <t>hsl(349,71.7%,59.8%)</t>
  </si>
  <si>
    <t>hsl(4,55.8%,55.7%)</t>
  </si>
  <si>
    <t>hsl(358,100.0%,58.0%)</t>
  </si>
  <si>
    <t>hsl(358,51.4%,28.2%)</t>
  </si>
  <si>
    <t>hsl(348,97.2%,42.5%)</t>
  </si>
  <si>
    <t>hsl(340,100.0%,48.8%)</t>
  </si>
  <si>
    <t>hsl(19,32.9%,28.0%)</t>
  </si>
  <si>
    <t>hsl(2,27.6%,34.1%)</t>
  </si>
  <si>
    <t>hsl(44,10.7%,20.2%)</t>
  </si>
  <si>
    <t>hsl(356,100.0%,76.5%)</t>
  </si>
  <si>
    <t>hsl(4,100.0%,69.4%)</t>
  </si>
  <si>
    <t>hsl(8,100.0%,58.4%)</t>
  </si>
  <si>
    <t>hsl(346,100.0%,48.2%)</t>
  </si>
  <si>
    <t>hsl(356,94.0%,73.9%)</t>
  </si>
  <si>
    <t>hsl(354,100.0%,61.2%)</t>
  </si>
  <si>
    <t>hsl(356,100.0%,74.3%)</t>
  </si>
  <si>
    <t>hsl(353,88.4%,59.4%)</t>
  </si>
  <si>
    <t>hsl(2,100.0%,60.2%)</t>
  </si>
  <si>
    <t>hsl(357,99.0%,61.8%)</t>
  </si>
  <si>
    <t>hsl(343,100.0%,59.8%)</t>
  </si>
  <si>
    <t>hsl(350,100.0%,46.9%)</t>
  </si>
  <si>
    <t>hsl(336,95.4%,33.9%)</t>
  </si>
  <si>
    <t>hsl(340,100.0%,42.7%)</t>
  </si>
  <si>
    <t>hsl(348,91.1%,60.4%)</t>
  </si>
  <si>
    <t>hsl(358,100.0%,71.4%)</t>
  </si>
  <si>
    <t>hsl(348,100.0%,70.8%)</t>
  </si>
  <si>
    <t>hsl(6,84.6%,64.3%)</t>
  </si>
  <si>
    <t>hsl(355,100.0%,64.9%)</t>
  </si>
  <si>
    <t>hsl(358,69.1%,56.9%)</t>
  </si>
  <si>
    <t>hsl(250,6.0%,19.6%)</t>
  </si>
  <si>
    <t>hsl(213,30.2%,29.2%)</t>
  </si>
  <si>
    <t>hsl(355,13.9%,31.0%)</t>
  </si>
  <si>
    <t>hsl(0,0%,100.0%)</t>
  </si>
  <si>
    <t>hsl(26,25.5%,61.6%)</t>
  </si>
  <si>
    <t>hsl(7,81.2%,62.5%)</t>
  </si>
  <si>
    <t>hsl(359,59.2%,60.6%)</t>
  </si>
  <si>
    <t>hsl(346,78.8%,64.9%)</t>
  </si>
  <si>
    <t>hsl(355,100.0%,58.6%)</t>
  </si>
  <si>
    <t>hsl(339,100.0%,49.8%)</t>
  </si>
  <si>
    <t>hsl(352,76.7%,62.9%)</t>
  </si>
  <si>
    <t>hsl(0,100.0%,47.3%)</t>
  </si>
  <si>
    <t>hsl(345,79.9%,66.9%)</t>
  </si>
  <si>
    <t>hsl(353,95.4%,66.1%)</t>
  </si>
  <si>
    <t>hsl(350,100.0%,49.8%)</t>
  </si>
  <si>
    <t>hsl(0,86.2%,60.2%)</t>
  </si>
  <si>
    <t>hsl(353,100.0%,63.1%)</t>
  </si>
  <si>
    <t>hsl(359,100.0%,63.3%)</t>
  </si>
  <si>
    <t>hsl(13,100.0%,50.0%)</t>
  </si>
  <si>
    <t>hsl(0,61.8%,55.9%)</t>
  </si>
  <si>
    <t>hsl(349,75.1%,57.5%)</t>
  </si>
  <si>
    <t>hsl(0,100.0%,48.0%)</t>
  </si>
  <si>
    <t>hsl(357,100.0%,50.6%)</t>
  </si>
  <si>
    <t>hsl(358,79.9%,53.1%)</t>
  </si>
  <si>
    <t>hsl(0,100.0%,42.2%)</t>
  </si>
  <si>
    <t>hsl(345,100.0%,49.0%)</t>
  </si>
  <si>
    <t>hsl(348,74.5%,70.8%)</t>
  </si>
  <si>
    <t>hsl(352,76.6%,59.8%)</t>
  </si>
  <si>
    <t>hsl(8,100.0%,68.0%)</t>
  </si>
  <si>
    <t>hsl(351,76.6%,59.8%)</t>
  </si>
  <si>
    <t>hsl(353,88.1%,42.9%)</t>
  </si>
  <si>
    <t>hsl(355,100.0%,69.2%)</t>
  </si>
  <si>
    <t>hsl(354,100.0%,69.2%)</t>
  </si>
  <si>
    <t>hsl(358,62.8%,66.3%)</t>
  </si>
  <si>
    <t>hsl(342,93.9%,67.8%)</t>
  </si>
  <si>
    <t>hsl(322,36.9%,47.3%)</t>
  </si>
  <si>
    <t>hsl(341,28.6%,43.9%)</t>
  </si>
  <si>
    <t>hsl(356,76.1%,55.7%)</t>
  </si>
  <si>
    <t>hsl(9,6.5%,75.7%)</t>
  </si>
  <si>
    <t>hsl(202,42.0%,25.7%)</t>
  </si>
  <si>
    <t>hsl(359,77.5%,72.2%)</t>
  </si>
  <si>
    <t>hsl(0,78.5%,63.5%)</t>
  </si>
  <si>
    <t>hsl(347,45.5%,51.8%)</t>
  </si>
  <si>
    <t>hsl(359,100.0%,67.5%)</t>
  </si>
  <si>
    <t>hsl(355,93.7%,69.0%)</t>
  </si>
  <si>
    <t>hsl(5,100.0%,60.2%)</t>
  </si>
  <si>
    <t>hsl(353,67.2%,61.8%)</t>
  </si>
  <si>
    <t>hsl(341,100.0%,50.0%)</t>
  </si>
  <si>
    <t>hsl(0,100.0%,49.8%)</t>
  </si>
  <si>
    <t>hsl(0,100.0%,35.3%)</t>
  </si>
  <si>
    <t>hsl(356,100.0%,43.3%)</t>
  </si>
  <si>
    <t>hsl(336,100.0%,41.6%)</t>
  </si>
  <si>
    <t>hsl(357,48.9%,27.6%)</t>
  </si>
  <si>
    <t>hsl(355,100.0%,61.2%)</t>
  </si>
  <si>
    <t>hsl(11,100.0%,50.0%)</t>
  </si>
  <si>
    <t>hsl(11,100.0%,55.7%)</t>
  </si>
  <si>
    <t>hsl(10,100.0%,31.8%)</t>
  </si>
  <si>
    <t>hsl(345,96.4%,32.4%)</t>
  </si>
  <si>
    <t>hsl(348,77.4%,73.9%)</t>
  </si>
  <si>
    <t>hsl(357,72.7%,56.9%)</t>
  </si>
  <si>
    <t>hsl(353,76.2%,70.4%)</t>
  </si>
  <si>
    <t>hsl(352,71.6%,57.3%)</t>
  </si>
  <si>
    <t>hsl(347,78.6%,61.6%)</t>
  </si>
  <si>
    <t>hsl(343,71.0%,51.4%)</t>
  </si>
  <si>
    <t>hsl(345,80.5%,59.8%)</t>
  </si>
  <si>
    <t>hsl(10,82.4%,53.3%)</t>
  </si>
  <si>
    <t>hsl(344,71.0%,56.7%)</t>
  </si>
  <si>
    <t>hsl(356,64.2%,64.9%)</t>
  </si>
  <si>
    <t>hsl(309,33.9%,76.9%)</t>
  </si>
  <si>
    <t>hsl(359,61.5%,74.5%)</t>
  </si>
  <si>
    <t>hsl(20,26.2%,31.4%)</t>
  </si>
  <si>
    <t>hsl(19,28.2%,20.2%)</t>
  </si>
  <si>
    <t>hsl(207,36.0%,95.1%)</t>
  </si>
  <si>
    <t>hsl(13,83.7%,75.9%)</t>
  </si>
  <si>
    <t>hsl(7,27.7%,43.9%)</t>
  </si>
  <si>
    <t>hsl(353,78.6%,68.8%)</t>
  </si>
  <si>
    <t>hsl(350,67.7%,68.4%)</t>
  </si>
  <si>
    <t>hsl(330,43.8%,34.9%)</t>
  </si>
  <si>
    <t>hsl(356,97.8%,63.5%)</t>
  </si>
  <si>
    <t>hsl(350,94.5%,57.5%)</t>
  </si>
  <si>
    <t>hsl(357,45.5%,45.3%)</t>
  </si>
  <si>
    <t>hsl(344,100.0%,66.9%)</t>
  </si>
  <si>
    <t>hsl(36,77.8%,75.3%)</t>
  </si>
  <si>
    <t>hsl(0,68.2%,66.7%)</t>
  </si>
  <si>
    <t>hsl(346,78.3%,69.2%)</t>
  </si>
  <si>
    <t>hsl(333,39.4%,36.9%)</t>
  </si>
  <si>
    <t>hsl(355,70.6%,33.3%)</t>
  </si>
  <si>
    <t>hsl(7,46.8%,60.2%)</t>
  </si>
  <si>
    <t>hsl(354,69.9%,62.2%)</t>
  </si>
  <si>
    <t>hsl(7,28.0%,34.3%)</t>
  </si>
  <si>
    <t>hsl(342,35.0%,61.4%)</t>
  </si>
  <si>
    <t>hsl(357,89.1%,32.4%)</t>
  </si>
  <si>
    <t>hsl(337,58.0%,47.6%)</t>
  </si>
  <si>
    <t>hsl(354,39.0%,51.2%)</t>
  </si>
  <si>
    <t>hsl(4,76.6%,56.5%)</t>
  </si>
  <si>
    <t>hsl(2,61.4%,48.8%)</t>
  </si>
  <si>
    <t>hsl(342,59.2%,50.0%)</t>
  </si>
  <si>
    <t>hsl(352,61.5%,46.9%)</t>
  </si>
  <si>
    <t>hsl(356,72.0%,39.2%)</t>
  </si>
  <si>
    <t>hsl(6,45.7%,58.8%)</t>
  </si>
  <si>
    <t>hsl(330,39.1%,31.6%)</t>
  </si>
  <si>
    <t>hsl(0,72.5%,58.6%)</t>
  </si>
  <si>
    <t>hsl(351,73.8%,58.0%)</t>
  </si>
  <si>
    <t>hsl(0,73.6%,41.6%)</t>
  </si>
  <si>
    <t>hsl(357,77.7%,42.2%)</t>
  </si>
  <si>
    <t>hsl(6,48.3%,52.9%)</t>
  </si>
  <si>
    <t>hsl(1,39.8%,53.7%)</t>
  </si>
  <si>
    <t>hsl(356,78.8%,66.7%)</t>
  </si>
  <si>
    <t>hsl(22,42.2%,41.4%)</t>
  </si>
  <si>
    <t>hsl(13,26.5%,36.3%)</t>
  </si>
  <si>
    <t>hsl(2,78.1%,73.1%)</t>
  </si>
  <si>
    <t>hsl(352,62.7%,62.2%)</t>
  </si>
  <si>
    <t>hsl(11,54.1%,61.6%)</t>
  </si>
  <si>
    <t>hsl(346,49.5%,59.6%)</t>
  </si>
  <si>
    <t>hsl(3,72.9%,59.4%)</t>
  </si>
  <si>
    <t>hsl(7,37.7%,48.4%)</t>
  </si>
  <si>
    <t>hsl(352,61.0%,50.8%)</t>
  </si>
  <si>
    <t>hsl(350,31.7%,51.8%)</t>
  </si>
  <si>
    <t>hsl(9,33.9%,52.5%)</t>
  </si>
  <si>
    <t>hsl(338,86.4%,34.7%)</t>
  </si>
  <si>
    <t>hsl(354,60.3%,29.6%)</t>
  </si>
  <si>
    <t>hsl(359,83.3%,42.2%)</t>
  </si>
  <si>
    <t>hsl(10,78.5%,50.8%)</t>
  </si>
  <si>
    <t>hsl(340,7.9%,14.9%)</t>
  </si>
  <si>
    <t>hsl(312,5.5%,82.2%)</t>
  </si>
  <si>
    <t>hsl(7,59.5%,50.6%)</t>
  </si>
  <si>
    <t>hsl(343,68.8%,49.0%)</t>
  </si>
  <si>
    <t>hsl(349,44.3%,27.5%)</t>
  </si>
  <si>
    <t>hsl(352,23.4%,18.4%)</t>
  </si>
  <si>
    <t>hsl(347,78.3%,67.5%)</t>
  </si>
  <si>
    <t>hsl(342,60.9%,53.9%)</t>
  </si>
  <si>
    <t>hsl(12,2.3%,57.5%)</t>
  </si>
  <si>
    <t>hsl(60,42.1%,76.3%)</t>
  </si>
  <si>
    <t>hsl(1,100.0%,86.1%)</t>
  </si>
  <si>
    <t>hsl(347,94.3%,58.4%)</t>
  </si>
  <si>
    <t>hsl(340,100.0%,48.2%)</t>
  </si>
  <si>
    <t>hsl(347,77.7%,64.9%)</t>
  </si>
  <si>
    <t>hsl(336,70.1%,73.7%)</t>
  </si>
  <si>
    <t>hsl(0,100.0%,78.2%)</t>
  </si>
  <si>
    <t>85.3%</t>
  </si>
  <si>
    <t>64.8%</t>
  </si>
  <si>
    <t>77.4%</t>
  </si>
  <si>
    <t>56.8%</t>
  </si>
  <si>
    <t>71.4%</t>
  </si>
  <si>
    <t>79.7%</t>
  </si>
  <si>
    <t>78.9%</t>
  </si>
  <si>
    <t>72.5%</t>
  </si>
  <si>
    <t>44.7%</t>
  </si>
  <si>
    <t>97.9%</t>
  </si>
  <si>
    <t>41.2%</t>
  </si>
  <si>
    <t>20.4%</t>
  </si>
  <si>
    <t>97.6%</t>
  </si>
  <si>
    <t>95.3%</t>
  </si>
  <si>
    <t>88.8%</t>
  </si>
  <si>
    <t>87.2%</t>
  </si>
  <si>
    <t>100.0%</t>
  </si>
  <si>
    <t>85.5%</t>
  </si>
  <si>
    <t>79.8%</t>
  </si>
  <si>
    <t>80.4%</t>
  </si>
  <si>
    <t>60.2%</t>
  </si>
  <si>
    <t>71.1%</t>
  </si>
  <si>
    <t>55.8%</t>
  </si>
  <si>
    <t>67.6%</t>
  </si>
  <si>
    <t>47.1%</t>
  </si>
  <si>
    <t>98.9%</t>
  </si>
  <si>
    <t>48.8%</t>
  </si>
  <si>
    <t>70.9%</t>
  </si>
  <si>
    <t>75.7%</t>
  </si>
  <si>
    <t>71.7%</t>
  </si>
  <si>
    <t>51.4%</t>
  </si>
  <si>
    <t>97.2%</t>
  </si>
  <si>
    <t>32.9%</t>
  </si>
  <si>
    <t>27.6%</t>
  </si>
  <si>
    <t>10.7%</t>
  </si>
  <si>
    <t>94.0%</t>
  </si>
  <si>
    <t>88.4%</t>
  </si>
  <si>
    <t>99.0%</t>
  </si>
  <si>
    <t>95.4%</t>
  </si>
  <si>
    <t>91.1%</t>
  </si>
  <si>
    <t>84.6%</t>
  </si>
  <si>
    <t>69.1%</t>
  </si>
  <si>
    <t>6.0%</t>
  </si>
  <si>
    <t>30.2%</t>
  </si>
  <si>
    <t>13.9%</t>
  </si>
  <si>
    <t>25.5%</t>
  </si>
  <si>
    <t>81.2%</t>
  </si>
  <si>
    <t>59.2%</t>
  </si>
  <si>
    <t>78.8%</t>
  </si>
  <si>
    <t>76.7%</t>
  </si>
  <si>
    <t>79.9%</t>
  </si>
  <si>
    <t>86.2%</t>
  </si>
  <si>
    <t>61.8%</t>
  </si>
  <si>
    <t>75.1%</t>
  </si>
  <si>
    <t>74.5%</t>
  </si>
  <si>
    <t>76.6%</t>
  </si>
  <si>
    <t>88.1%</t>
  </si>
  <si>
    <t>62.8%</t>
  </si>
  <si>
    <t>93.9%</t>
  </si>
  <si>
    <t>36.9%</t>
  </si>
  <si>
    <t>28.6%</t>
  </si>
  <si>
    <t>76.1%</t>
  </si>
  <si>
    <t>6.5%</t>
  </si>
  <si>
    <t>42.0%</t>
  </si>
  <si>
    <t>77.5%</t>
  </si>
  <si>
    <t>78.5%</t>
  </si>
  <si>
    <t>45.5%</t>
  </si>
  <si>
    <t>93.7%</t>
  </si>
  <si>
    <t>67.2%</t>
  </si>
  <si>
    <t>48.9%</t>
  </si>
  <si>
    <t>96.4%</t>
  </si>
  <si>
    <t>72.7%</t>
  </si>
  <si>
    <t>76.2%</t>
  </si>
  <si>
    <t>71.6%</t>
  </si>
  <si>
    <t>78.6%</t>
  </si>
  <si>
    <t>71.0%</t>
  </si>
  <si>
    <t>80.5%</t>
  </si>
  <si>
    <t>82.4%</t>
  </si>
  <si>
    <t>64.2%</t>
  </si>
  <si>
    <t>33.9%</t>
  </si>
  <si>
    <t>61.5%</t>
  </si>
  <si>
    <t>26.2%</t>
  </si>
  <si>
    <t>28.2%</t>
  </si>
  <si>
    <t>36.0%</t>
  </si>
  <si>
    <t>83.7%</t>
  </si>
  <si>
    <t>27.7%</t>
  </si>
  <si>
    <t>67.7%</t>
  </si>
  <si>
    <t>43.8%</t>
  </si>
  <si>
    <t>97.8%</t>
  </si>
  <si>
    <t>94.5%</t>
  </si>
  <si>
    <t>77.8%</t>
  </si>
  <si>
    <t>68.2%</t>
  </si>
  <si>
    <t>78.3%</t>
  </si>
  <si>
    <t>39.4%</t>
  </si>
  <si>
    <t>70.6%</t>
  </si>
  <si>
    <t>46.8%</t>
  </si>
  <si>
    <t>69.9%</t>
  </si>
  <si>
    <t>28.0%</t>
  </si>
  <si>
    <t>35.0%</t>
  </si>
  <si>
    <t>89.1%</t>
  </si>
  <si>
    <t>58.0%</t>
  </si>
  <si>
    <t>39.0%</t>
  </si>
  <si>
    <t>61.4%</t>
  </si>
  <si>
    <t>72.0%</t>
  </si>
  <si>
    <t>45.7%</t>
  </si>
  <si>
    <t>39.1%</t>
  </si>
  <si>
    <t>73.8%</t>
  </si>
  <si>
    <t>73.6%</t>
  </si>
  <si>
    <t>77.7%</t>
  </si>
  <si>
    <t>48.3%</t>
  </si>
  <si>
    <t>39.8%</t>
  </si>
  <si>
    <t>42.2%</t>
  </si>
  <si>
    <t>26.5%</t>
  </si>
  <si>
    <t>78.1%</t>
  </si>
  <si>
    <t>62.7%</t>
  </si>
  <si>
    <t>54.1%</t>
  </si>
  <si>
    <t>49.5%</t>
  </si>
  <si>
    <t>72.9%</t>
  </si>
  <si>
    <t>37.7%</t>
  </si>
  <si>
    <t>61.0%</t>
  </si>
  <si>
    <t>31.7%</t>
  </si>
  <si>
    <t>86.4%</t>
  </si>
  <si>
    <t>60.3%</t>
  </si>
  <si>
    <t>83.3%</t>
  </si>
  <si>
    <t>7.9%</t>
  </si>
  <si>
    <t>5.5%</t>
  </si>
  <si>
    <t>59.5%</t>
  </si>
  <si>
    <t>68.8%</t>
  </si>
  <si>
    <t>44.3%</t>
  </si>
  <si>
    <t>23.4%</t>
  </si>
  <si>
    <t>60.9%</t>
  </si>
  <si>
    <t>2.3%</t>
  </si>
  <si>
    <t>42.1%</t>
  </si>
  <si>
    <t>94.3%</t>
  </si>
  <si>
    <t>70.1%</t>
  </si>
  <si>
    <t>SATURATION</t>
  </si>
  <si>
    <t>LIGHTNESS</t>
  </si>
  <si>
    <t>HUE to TEXT</t>
  </si>
  <si>
    <t>Dark</t>
  </si>
  <si>
    <t>Medium</t>
  </si>
  <si>
    <t>LIGHTNESS to TEXT</t>
  </si>
  <si>
    <t>hexcode</t>
  </si>
  <si>
    <t>Fair skintone</t>
  </si>
  <si>
    <t>Light skintone</t>
  </si>
  <si>
    <t>Medium skintone</t>
  </si>
  <si>
    <t>Tan skin</t>
  </si>
  <si>
    <t>Deep complexion</t>
  </si>
  <si>
    <t>cool undertone</t>
  </si>
  <si>
    <t>warm undertone</t>
  </si>
  <si>
    <t>soft mocha, nude</t>
  </si>
  <si>
    <t>pale pinks, peach</t>
  </si>
  <si>
    <t>pink or cranberry</t>
  </si>
  <si>
    <t>most colors go</t>
  </si>
  <si>
    <t>avoid browns and purple</t>
  </si>
  <si>
    <t>copper, bronze</t>
  </si>
  <si>
    <t>purples like walnut, caramel, plum, or wine</t>
  </si>
  <si>
    <t>ruby and wine-colored reds</t>
  </si>
  <si>
    <t>GENERAL</t>
  </si>
  <si>
    <t>copper or bronze</t>
  </si>
  <si>
    <t>light pink, coral, peach, nudes, or beige</t>
  </si>
  <si>
    <t>HUE + LIGHTNESS to DETAILED TEXT</t>
  </si>
  <si>
    <t>TEXT</t>
  </si>
  <si>
    <t>Detailed name</t>
  </si>
  <si>
    <t>HSL to TEXT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</si>
</sst>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charset val="134"/>
      <scheme val="minor"/>
    </font>
    <font>
      <sz val="9"/>
      <name val="Calibri"/>
      <family val="2"/>
      <charset val="134"/>
      <scheme val="minor"/>
    </font>
    <font>
      <u/>
      <sz val="11"/>
      <color theme="10"/>
      <name val="Calibri"/>
      <family val="3"/>
      <charset val="134"/>
      <scheme val="minor"/>
    </font>
    <font>
      <sz val="9"/>
      <name val="Calibri"/>
      <family val="3"/>
      <charset val="134"/>
      <scheme val="minor"/>
    </font>
    <font>
      <sz val="11"/>
      <color theme="1"/>
      <name val="Calibri"/>
      <family val="3"/>
      <charset val="134"/>
      <scheme val="minor"/>
    </font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</font>
    <font>
      <b/>
      <sz val="11"/>
      <color rgb="FF333333"/>
      <name val="Calibri"/>
      <family val="2"/>
    </font>
    <font>
      <sz val="11"/>
      <color rgb="FF333333"/>
      <name val="Calibri"/>
      <family val="2"/>
    </font>
    <font>
      <sz val="11"/>
      <color rgb="FF000000"/>
      <name val="Arial"/>
      <family val="2"/>
    </font>
    <font>
      <sz val="11"/>
      <color rgb="FF000000"/>
      <name val="Calibri"/>
      <family val="2"/>
      <charset val="134"/>
      <scheme val="minor"/>
    </font>
    <font>
      <sz val="11"/>
      <color rgb="FF333333"/>
      <name val="Helvetica Neue"/>
      <family val="2"/>
    </font>
    <font>
      <u/>
      <sz val="11"/>
      <color theme="1"/>
      <name val="Calibri"/>
      <family val="2"/>
      <charset val="134"/>
      <scheme val="minor"/>
    </font>
  </fonts>
  <fills count="208">
    <fill>
      <patternFill patternType="none"/>
    </fill>
    <fill>
      <patternFill patternType="gray125"/>
    </fill>
    <fill>
      <patternFill patternType="solid">
        <fgColor rgb="FFFFF6F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58881"/>
        <bgColor indexed="64"/>
      </patternFill>
    </fill>
    <fill>
      <patternFill patternType="solid">
        <fgColor rgb="FFE37C9A"/>
        <bgColor indexed="64"/>
      </patternFill>
    </fill>
    <fill>
      <patternFill patternType="solid">
        <fgColor rgb="FFEC716A"/>
        <bgColor indexed="64"/>
      </patternFill>
    </fill>
    <fill>
      <patternFill patternType="solid">
        <fgColor rgb="FFE19D92"/>
        <bgColor indexed="64"/>
      </patternFill>
    </fill>
    <fill>
      <patternFill patternType="solid">
        <fgColor rgb="FFEB8789"/>
        <bgColor indexed="64"/>
      </patternFill>
    </fill>
    <fill>
      <patternFill patternType="solid">
        <fgColor rgb="FFED6073"/>
        <bgColor indexed="64"/>
      </patternFill>
    </fill>
    <fill>
      <patternFill patternType="solid">
        <fgColor rgb="FFF19888"/>
        <bgColor indexed="64"/>
      </patternFill>
    </fill>
    <fill>
      <patternFill patternType="solid">
        <fgColor rgb="FFE86F7E"/>
        <bgColor indexed="64"/>
      </patternFill>
    </fill>
    <fill>
      <patternFill patternType="solid">
        <fgColor rgb="FFE5BDBB"/>
        <bgColor indexed="64"/>
      </patternFill>
    </fill>
    <fill>
      <patternFill patternType="solid">
        <fgColor rgb="FFFEA3A2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B97A57"/>
        <bgColor indexed="64"/>
      </patternFill>
    </fill>
    <fill>
      <patternFill patternType="solid">
        <fgColor rgb="FF171717"/>
        <bgColor indexed="64"/>
      </patternFill>
    </fill>
    <fill>
      <patternFill patternType="solid">
        <fgColor rgb="FF3B2C27"/>
        <bgColor indexed="64"/>
      </patternFill>
    </fill>
    <fill>
      <patternFill patternType="solid">
        <fgColor rgb="FFFD5D5F"/>
        <bgColor indexed="64"/>
      </patternFill>
    </fill>
    <fill>
      <patternFill patternType="solid">
        <fgColor rgb="FFFC81C0"/>
        <bgColor indexed="64"/>
      </patternFill>
    </fill>
    <fill>
      <patternFill patternType="solid">
        <fgColor rgb="FFF44562"/>
        <bgColor indexed="64"/>
      </patternFill>
    </fill>
    <fill>
      <patternFill patternType="solid">
        <fgColor rgb="FFDCA7F9"/>
        <bgColor indexed="64"/>
      </patternFill>
    </fill>
    <fill>
      <patternFill patternType="solid">
        <fgColor rgb="FFFF4AF9"/>
        <bgColor indexed="64"/>
      </patternFill>
    </fill>
    <fill>
      <patternFill patternType="solid">
        <fgColor rgb="FFFF7058"/>
        <bgColor indexed="64"/>
      </patternFill>
    </fill>
    <fill>
      <patternFill patternType="solid">
        <fgColor rgb="FFEC5E6A"/>
        <bgColor indexed="64"/>
      </patternFill>
    </fill>
    <fill>
      <patternFill patternType="solid">
        <fgColor rgb="FFF9C9B2"/>
        <bgColor indexed="64"/>
      </patternFill>
    </fill>
    <fill>
      <patternFill patternType="solid">
        <fgColor rgb="FFEC5856"/>
        <bgColor indexed="64"/>
      </patternFill>
    </fill>
    <fill>
      <patternFill patternType="solid">
        <fgColor rgb="FFEB7047"/>
        <bgColor indexed="64"/>
      </patternFill>
    </fill>
    <fill>
      <patternFill patternType="solid">
        <fgColor rgb="FFC9323B"/>
        <bgColor indexed="64"/>
      </patternFill>
    </fill>
    <fill>
      <patternFill patternType="solid">
        <fgColor rgb="FFDB2A54"/>
        <bgColor indexed="64"/>
      </patternFill>
    </fill>
    <fill>
      <patternFill patternType="solid">
        <fgColor rgb="FFD77A72"/>
        <bgColor indexed="64"/>
      </patternFill>
    </fill>
    <fill>
      <patternFill patternType="solid">
        <fgColor rgb="FFCA2752"/>
        <bgColor indexed="64"/>
      </patternFill>
    </fill>
    <fill>
      <patternFill patternType="solid">
        <fgColor rgb="FF994B37"/>
        <bgColor indexed="64"/>
      </patternFill>
    </fill>
    <fill>
      <patternFill patternType="solid">
        <fgColor rgb="FFB60124"/>
        <bgColor indexed="64"/>
      </patternFill>
    </fill>
    <fill>
      <patternFill patternType="solid">
        <fgColor rgb="FF9A3539"/>
        <bgColor indexed="64"/>
      </patternFill>
    </fill>
    <fill>
      <patternFill patternType="solid">
        <fgColor rgb="FFD3244D"/>
        <bgColor indexed="64"/>
      </patternFill>
    </fill>
    <fill>
      <patternFill patternType="solid">
        <fgColor rgb="FFEE8492"/>
        <bgColor indexed="64"/>
      </patternFill>
    </fill>
    <fill>
      <patternFill patternType="solid">
        <fgColor rgb="FFE24F6B"/>
        <bgColor indexed="64"/>
      </patternFill>
    </fill>
    <fill>
      <patternFill patternType="solid">
        <fgColor rgb="FFCD584F"/>
        <bgColor indexed="64"/>
      </patternFill>
    </fill>
    <fill>
      <patternFill patternType="solid">
        <fgColor rgb="FFFF292F"/>
        <bgColor indexed="64"/>
      </patternFill>
    </fill>
    <fill>
      <patternFill patternType="solid">
        <fgColor rgb="FF6D2325"/>
        <bgColor indexed="64"/>
      </patternFill>
    </fill>
    <fill>
      <patternFill patternType="solid">
        <fgColor rgb="FFD6032E"/>
        <bgColor indexed="64"/>
      </patternFill>
    </fill>
    <fill>
      <patternFill patternType="solid">
        <fgColor rgb="FFF90052"/>
        <bgColor indexed="64"/>
      </patternFill>
    </fill>
    <fill>
      <patternFill patternType="solid">
        <fgColor rgb="FF5F3F30"/>
        <bgColor indexed="64"/>
      </patternFill>
    </fill>
    <fill>
      <patternFill patternType="solid">
        <fgColor rgb="FF6F413F"/>
        <bgColor indexed="64"/>
      </patternFill>
    </fill>
    <fill>
      <patternFill patternType="solid">
        <fgColor rgb="FF39362E"/>
        <bgColor indexed="64"/>
      </patternFill>
    </fill>
    <fill>
      <patternFill patternType="solid">
        <fgColor rgb="FFFF878E"/>
        <bgColor indexed="64"/>
      </patternFill>
    </fill>
    <fill>
      <patternFill patternType="solid">
        <fgColor rgb="FFFF6D63"/>
        <bgColor indexed="64"/>
      </patternFill>
    </fill>
    <fill>
      <patternFill patternType="solid">
        <fgColor rgb="FFFF482B"/>
        <bgColor indexed="64"/>
      </patternFill>
    </fill>
    <fill>
      <patternFill patternType="solid">
        <fgColor rgb="FFF60039"/>
        <bgColor indexed="64"/>
      </patternFill>
    </fill>
    <fill>
      <patternFill patternType="solid">
        <fgColor rgb="FFFB7E86"/>
        <bgColor indexed="64"/>
      </patternFill>
    </fill>
    <fill>
      <patternFill patternType="solid">
        <fgColor rgb="FFFF394E"/>
        <bgColor indexed="64"/>
      </patternFill>
    </fill>
    <fill>
      <patternFill patternType="solid">
        <fgColor rgb="FFFF7C84"/>
        <bgColor indexed="64"/>
      </patternFill>
    </fill>
    <fill>
      <patternFill patternType="solid">
        <fgColor rgb="FFF33C51"/>
        <bgColor indexed="64"/>
      </patternFill>
    </fill>
    <fill>
      <patternFill patternType="solid">
        <fgColor rgb="FFFF3C34"/>
        <bgColor indexed="64"/>
      </patternFill>
    </fill>
    <fill>
      <patternFill patternType="solid">
        <fgColor rgb="FFFE3D47"/>
        <bgColor indexed="64"/>
      </patternFill>
    </fill>
    <fill>
      <patternFill patternType="solid">
        <fgColor rgb="FFFF326B"/>
        <bgColor indexed="64"/>
      </patternFill>
    </fill>
    <fill>
      <patternFill patternType="solid">
        <fgColor rgb="FFEF0026"/>
        <bgColor indexed="64"/>
      </patternFill>
    </fill>
    <fill>
      <patternFill patternType="solid">
        <fgColor rgb="FFA90445"/>
        <bgColor indexed="64"/>
      </patternFill>
    </fill>
    <fill>
      <patternFill patternType="solid">
        <fgColor rgb="FFDA0048"/>
        <bgColor indexed="64"/>
      </patternFill>
    </fill>
    <fill>
      <patternFill patternType="solid">
        <fgColor rgb="FFF63E63"/>
        <bgColor indexed="64"/>
      </patternFill>
    </fill>
    <fill>
      <patternFill patternType="solid">
        <fgColor rgb="FFFF6D72"/>
        <bgColor indexed="64"/>
      </patternFill>
    </fill>
    <fill>
      <patternFill patternType="solid">
        <fgColor rgb="FFFF6A87"/>
        <bgColor indexed="64"/>
      </patternFill>
    </fill>
    <fill>
      <patternFill patternType="solid">
        <fgColor rgb="FFF16757"/>
        <bgColor indexed="64"/>
      </patternFill>
    </fill>
    <fill>
      <patternFill patternType="solid">
        <fgColor rgb="FFFF4C5B"/>
        <bgColor indexed="64"/>
      </patternFill>
    </fill>
    <fill>
      <patternFill patternType="solid">
        <fgColor rgb="FFDD454B"/>
        <bgColor indexed="64"/>
      </patternFill>
    </fill>
    <fill>
      <patternFill patternType="solid">
        <fgColor rgb="FF302F35"/>
        <bgColor indexed="64"/>
      </patternFill>
    </fill>
    <fill>
      <patternFill patternType="solid">
        <fgColor rgb="FF344861"/>
        <bgColor indexed="64"/>
      </patternFill>
    </fill>
    <fill>
      <patternFill patternType="solid">
        <fgColor rgb="FF5A444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B69A84"/>
        <bgColor indexed="64"/>
      </patternFill>
    </fill>
    <fill>
      <patternFill patternType="solid">
        <fgColor rgb="FFED6452"/>
        <bgColor indexed="64"/>
      </patternFill>
    </fill>
    <fill>
      <patternFill patternType="solid">
        <fgColor rgb="FFD65F61"/>
        <bgColor indexed="64"/>
      </patternFill>
    </fill>
    <fill>
      <patternFill patternType="solid">
        <fgColor rgb="FFEC5F7F"/>
        <bgColor indexed="64"/>
      </patternFill>
    </fill>
    <fill>
      <patternFill patternType="solid">
        <fgColor rgb="FFFF2C3C"/>
        <bgColor indexed="64"/>
      </patternFill>
    </fill>
    <fill>
      <patternFill patternType="solid">
        <fgColor rgb="FFFE0058"/>
        <bgColor indexed="64"/>
      </patternFill>
    </fill>
    <fill>
      <patternFill patternType="solid">
        <fgColor rgb="FFE9586C"/>
        <bgColor indexed="64"/>
      </patternFill>
    </fill>
    <fill>
      <patternFill patternType="solid">
        <fgColor rgb="FFF10000"/>
        <bgColor indexed="64"/>
      </patternFill>
    </fill>
    <fill>
      <patternFill patternType="solid">
        <fgColor rgb="FFEE6789"/>
        <bgColor indexed="64"/>
      </patternFill>
    </fill>
    <fill>
      <patternFill patternType="solid">
        <fgColor rgb="FFFB5669"/>
        <bgColor indexed="64"/>
      </patternFill>
    </fill>
    <fill>
      <patternFill patternType="solid">
        <fgColor rgb="FFFE002C"/>
        <bgColor indexed="64"/>
      </patternFill>
    </fill>
    <fill>
      <patternFill patternType="solid">
        <fgColor rgb="FFF14342"/>
        <bgColor indexed="64"/>
      </patternFill>
    </fill>
    <fill>
      <patternFill patternType="solid">
        <fgColor rgb="FFFF435A"/>
        <bgColor indexed="64"/>
      </patternFill>
    </fill>
    <fill>
      <patternFill patternType="solid">
        <fgColor rgb="FFFF4448"/>
        <bgColor indexed="64"/>
      </patternFill>
    </fill>
    <fill>
      <patternFill patternType="solid">
        <fgColor rgb="FFFF3600"/>
        <bgColor indexed="64"/>
      </patternFill>
    </fill>
    <fill>
      <patternFill patternType="solid">
        <fgColor rgb="FFD4494A"/>
        <bgColor indexed="64"/>
      </patternFill>
    </fill>
    <fill>
      <patternFill patternType="solid">
        <fgColor rgb="FFE4415F"/>
        <bgColor indexed="64"/>
      </patternFill>
    </fill>
    <fill>
      <patternFill patternType="solid">
        <fgColor rgb="FFF50001"/>
        <bgColor indexed="64"/>
      </patternFill>
    </fill>
    <fill>
      <patternFill patternType="solid">
        <fgColor rgb="FFFF0311"/>
        <bgColor indexed="64"/>
      </patternFill>
    </fill>
    <fill>
      <patternFill patternType="solid">
        <fgColor rgb="FFE7282F"/>
        <bgColor indexed="64"/>
      </patternFill>
    </fill>
    <fill>
      <patternFill patternType="solid">
        <fgColor rgb="FFD70000"/>
        <bgColor indexed="64"/>
      </patternFill>
    </fill>
    <fill>
      <patternFill patternType="solid">
        <fgColor rgb="FFFA003F"/>
        <bgColor indexed="64"/>
      </patternFill>
    </fill>
    <fill>
      <patternFill patternType="solid">
        <fgColor rgb="FFEC7D93"/>
        <bgColor indexed="64"/>
      </patternFill>
    </fill>
    <fill>
      <patternFill patternType="solid">
        <fgColor rgb="FFE74A5F"/>
        <bgColor indexed="64"/>
      </patternFill>
    </fill>
    <fill>
      <patternFill patternType="solid">
        <fgColor rgb="FFFF725C"/>
        <bgColor indexed="64"/>
      </patternFill>
    </fill>
    <fill>
      <patternFill patternType="solid">
        <fgColor rgb="FFE74A61"/>
        <bgColor indexed="64"/>
      </patternFill>
    </fill>
    <fill>
      <patternFill patternType="solid">
        <fgColor rgb="FFCE0D25"/>
        <bgColor indexed="64"/>
      </patternFill>
    </fill>
    <fill>
      <patternFill patternType="solid">
        <fgColor rgb="FFFF626E"/>
        <bgColor indexed="64"/>
      </patternFill>
    </fill>
    <fill>
      <patternFill patternType="solid">
        <fgColor rgb="FFFF6272"/>
        <bgColor indexed="64"/>
      </patternFill>
    </fill>
    <fill>
      <patternFill patternType="solid">
        <fgColor rgb="FFDF7377"/>
        <bgColor indexed="64"/>
      </patternFill>
    </fill>
    <fill>
      <patternFill patternType="solid">
        <fgColor rgb="FFFA608F"/>
        <bgColor indexed="64"/>
      </patternFill>
    </fill>
    <fill>
      <patternFill patternType="solid">
        <fgColor rgb="FFA54C84"/>
        <bgColor indexed="64"/>
      </patternFill>
    </fill>
    <fill>
      <patternFill patternType="solid">
        <fgColor rgb="FF905064"/>
        <bgColor indexed="64"/>
      </patternFill>
    </fill>
    <fill>
      <patternFill patternType="solid">
        <fgColor rgb="FFE43843"/>
        <bgColor indexed="64"/>
      </patternFill>
    </fill>
    <fill>
      <patternFill patternType="solid">
        <fgColor rgb="FFBDC5BE"/>
        <bgColor indexed="64"/>
      </patternFill>
    </fill>
    <fill>
      <patternFill patternType="solid">
        <fgColor rgb="FF26495D"/>
        <bgColor indexed="64"/>
      </patternFill>
    </fill>
    <fill>
      <patternFill patternType="solid">
        <fgColor rgb="FFEF8182"/>
        <bgColor indexed="64"/>
      </patternFill>
    </fill>
    <fill>
      <patternFill patternType="solid">
        <fgColor rgb="FFEB5959"/>
        <bgColor indexed="64"/>
      </patternFill>
    </fill>
    <fill>
      <patternFill patternType="solid">
        <fgColor rgb="FFBC4C64"/>
        <bgColor indexed="64"/>
      </patternFill>
    </fill>
    <fill>
      <patternFill patternType="solid">
        <fgColor rgb="FFFF595C"/>
        <bgColor indexed="64"/>
      </patternFill>
    </fill>
    <fill>
      <patternFill patternType="solid">
        <fgColor rgb="FFFA6673"/>
        <bgColor indexed="64"/>
      </patternFill>
    </fill>
    <fill>
      <patternFill patternType="solid">
        <fgColor rgb="FFFF4534"/>
        <bgColor indexed="64"/>
      </patternFill>
    </fill>
    <fill>
      <patternFill patternType="solid">
        <fgColor rgb="FFDF5C6C"/>
        <bgColor indexed="64"/>
      </patternFill>
    </fill>
    <fill>
      <patternFill patternType="solid">
        <fgColor rgb="FFFF004F"/>
        <bgColor indexed="64"/>
      </patternFill>
    </fill>
    <fill>
      <patternFill patternType="solid">
        <fgColor rgb="FFFE0000"/>
        <bgColor indexed="64"/>
      </patternFill>
    </fill>
    <fill>
      <patternFill patternType="solid">
        <fgColor rgb="FFB40000"/>
        <bgColor indexed="64"/>
      </patternFill>
    </fill>
    <fill>
      <patternFill patternType="solid">
        <fgColor rgb="FFDD0010"/>
        <bgColor indexed="64"/>
      </patternFill>
    </fill>
    <fill>
      <patternFill patternType="solid">
        <fgColor rgb="FFD40055"/>
        <bgColor indexed="64"/>
      </patternFill>
    </fill>
    <fill>
      <patternFill patternType="solid">
        <fgColor rgb="FF692427"/>
        <bgColor indexed="64"/>
      </patternFill>
    </fill>
    <fill>
      <patternFill patternType="solid">
        <fgColor rgb="FFFF3949"/>
        <bgColor indexed="64"/>
      </patternFill>
    </fill>
    <fill>
      <patternFill patternType="solid">
        <fgColor rgb="FFFF3000"/>
        <bgColor indexed="64"/>
      </patternFill>
    </fill>
    <fill>
      <patternFill patternType="solid">
        <fgColor rgb="FFFF461D"/>
        <bgColor indexed="64"/>
      </patternFill>
    </fill>
    <fill>
      <patternFill patternType="solid">
        <fgColor rgb="FFA21A00"/>
        <bgColor indexed="64"/>
      </patternFill>
    </fill>
    <fill>
      <patternFill patternType="solid">
        <fgColor rgb="FFA2032C"/>
        <bgColor indexed="64"/>
      </patternFill>
    </fill>
    <fill>
      <patternFill patternType="solid">
        <fgColor rgb="FFF0899E"/>
        <bgColor indexed="64"/>
      </patternFill>
    </fill>
    <fill>
      <patternFill patternType="solid">
        <fgColor rgb="FFE14149"/>
        <bgColor indexed="64"/>
      </patternFill>
    </fill>
    <fill>
      <patternFill patternType="solid">
        <fgColor rgb="FFED7A87"/>
        <bgColor indexed="64"/>
      </patternFill>
    </fill>
    <fill>
      <patternFill patternType="solid">
        <fgColor rgb="FFE0445A"/>
        <bgColor indexed="64"/>
      </patternFill>
    </fill>
    <fill>
      <patternFill patternType="solid">
        <fgColor rgb="FFEA5072"/>
        <bgColor indexed="64"/>
      </patternFill>
    </fill>
    <fill>
      <patternFill patternType="solid">
        <fgColor rgb="FFDB2B5C"/>
        <bgColor indexed="64"/>
      </patternFill>
    </fill>
    <fill>
      <patternFill patternType="solid">
        <fgColor rgb="FFEB466E"/>
        <bgColor indexed="64"/>
      </patternFill>
    </fill>
    <fill>
      <patternFill patternType="solid">
        <fgColor rgb="FFEA4726"/>
        <bgColor indexed="64"/>
      </patternFill>
    </fill>
    <fill>
      <patternFill patternType="solid">
        <fgColor rgb="FFDF426D"/>
        <bgColor indexed="64"/>
      </patternFill>
    </fill>
    <fill>
      <patternFill patternType="solid">
        <fgColor rgb="FFDF6C73"/>
        <bgColor indexed="64"/>
      </patternFill>
    </fill>
    <fill>
      <patternFill patternType="solid">
        <fgColor rgb="FFD8B0D2"/>
        <bgColor indexed="64"/>
      </patternFill>
    </fill>
    <fill>
      <patternFill patternType="solid">
        <fgColor rgb="FFE69697"/>
        <bgColor indexed="64"/>
      </patternFill>
    </fill>
    <fill>
      <patternFill patternType="solid">
        <fgColor rgb="FF65493B"/>
        <bgColor indexed="64"/>
      </patternFill>
    </fill>
    <fill>
      <patternFill patternType="solid">
        <fgColor rgb="FF422E25"/>
        <bgColor indexed="64"/>
      </patternFill>
    </fill>
    <fill>
      <patternFill patternType="solid">
        <fgColor rgb="FFEEF3F7"/>
        <bgColor indexed="64"/>
      </patternFill>
    </fill>
    <fill>
      <patternFill patternType="solid">
        <fgColor rgb="FFF5A58E"/>
        <bgColor indexed="64"/>
      </patternFill>
    </fill>
    <fill>
      <patternFill patternType="solid">
        <fgColor rgb="FF8F5851"/>
        <bgColor indexed="64"/>
      </patternFill>
    </fill>
    <fill>
      <patternFill patternType="solid">
        <fgColor rgb="FFEE717F"/>
        <bgColor indexed="64"/>
      </patternFill>
    </fill>
    <fill>
      <patternFill patternType="solid">
        <fgColor rgb="FFE5788B"/>
        <bgColor indexed="64"/>
      </patternFill>
    </fill>
    <fill>
      <patternFill patternType="solid">
        <fgColor rgb="FF803259"/>
        <bgColor indexed="64"/>
      </patternFill>
    </fill>
    <fill>
      <patternFill patternType="solid">
        <fgColor rgb="FFFD4752"/>
        <bgColor indexed="64"/>
      </patternFill>
    </fill>
    <fill>
      <patternFill patternType="solid">
        <fgColor rgb="FFF92C4E"/>
        <bgColor indexed="64"/>
      </patternFill>
    </fill>
    <fill>
      <patternFill patternType="solid">
        <fgColor rgb="FFA83F44"/>
        <bgColor indexed="64"/>
      </patternFill>
    </fill>
    <fill>
      <patternFill patternType="solid">
        <fgColor rgb="FFFF5684"/>
        <bgColor indexed="64"/>
      </patternFill>
    </fill>
    <fill>
      <patternFill patternType="solid">
        <fgColor rgb="FFF1CA8F"/>
        <bgColor indexed="64"/>
      </patternFill>
    </fill>
    <fill>
      <patternFill patternType="solid">
        <fgColor rgb="FFE47070"/>
        <bgColor indexed="64"/>
      </patternFill>
    </fill>
    <fill>
      <patternFill patternType="solid">
        <fgColor rgb="FFEE738F"/>
        <bgColor indexed="64"/>
      </patternFill>
    </fill>
    <fill>
      <patternFill patternType="solid">
        <fgColor rgb="FF83395A"/>
        <bgColor indexed="64"/>
      </patternFill>
    </fill>
    <fill>
      <patternFill patternType="solid">
        <fgColor rgb="FF911923"/>
        <bgColor indexed="64"/>
      </patternFill>
    </fill>
    <fill>
      <patternFill patternType="solid">
        <fgColor rgb="FFC9756A"/>
        <bgColor indexed="64"/>
      </patternFill>
    </fill>
    <fill>
      <patternFill patternType="solid">
        <fgColor rgb="FFE25B69"/>
        <bgColor indexed="64"/>
      </patternFill>
    </fill>
    <fill>
      <patternFill patternType="solid">
        <fgColor rgb="FF70453F"/>
        <bgColor indexed="64"/>
      </patternFill>
    </fill>
    <fill>
      <patternFill patternType="solid">
        <fgColor rgb="FFBF7A8F"/>
        <bgColor indexed="64"/>
      </patternFill>
    </fill>
    <fill>
      <patternFill patternType="solid">
        <fgColor rgb="FF9C0911"/>
        <bgColor indexed="64"/>
      </patternFill>
    </fill>
    <fill>
      <patternFill patternType="solid">
        <fgColor rgb="FFC03368"/>
        <bgColor indexed="64"/>
      </patternFill>
    </fill>
    <fill>
      <patternFill patternType="solid">
        <fgColor rgb="FFB3525B"/>
        <bgColor indexed="64"/>
      </patternFill>
    </fill>
    <fill>
      <patternFill patternType="solid">
        <fgColor rgb="FFE5473B"/>
        <bgColor indexed="64"/>
      </patternFill>
    </fill>
    <fill>
      <patternFill patternType="solid">
        <fgColor rgb="FFC93430"/>
        <bgColor indexed="64"/>
      </patternFill>
    </fill>
    <fill>
      <patternFill patternType="solid">
        <fgColor rgb="FFCB3461"/>
        <bgColor indexed="64"/>
      </patternFill>
    </fill>
    <fill>
      <patternFill patternType="solid">
        <fgColor rgb="FFC12E41"/>
        <bgColor indexed="64"/>
      </patternFill>
    </fill>
    <fill>
      <patternFill patternType="solid">
        <fgColor rgb="FFAC1C26"/>
        <bgColor indexed="64"/>
      </patternFill>
    </fill>
    <fill>
      <patternFill patternType="solid">
        <fgColor rgb="FFC66F66"/>
        <bgColor indexed="64"/>
      </patternFill>
    </fill>
    <fill>
      <patternFill patternType="solid">
        <fgColor rgb="FF703150"/>
        <bgColor indexed="64"/>
      </patternFill>
    </fill>
    <fill>
      <patternFill patternType="solid">
        <fgColor rgb="FFE24A49"/>
        <bgColor indexed="64"/>
      </patternFill>
    </fill>
    <fill>
      <patternFill patternType="solid">
        <fgColor rgb="FFE3455E"/>
        <bgColor indexed="64"/>
      </patternFill>
    </fill>
    <fill>
      <patternFill patternType="solid">
        <fgColor rgb="FFB81C1D"/>
        <bgColor indexed="64"/>
      </patternFill>
    </fill>
    <fill>
      <patternFill patternType="solid">
        <fgColor rgb="FFBF181F"/>
        <bgColor indexed="64"/>
      </patternFill>
    </fill>
    <fill>
      <patternFill patternType="solid">
        <fgColor rgb="FFC1594D"/>
        <bgColor indexed="64"/>
      </patternFill>
    </fill>
    <fill>
      <patternFill patternType="solid">
        <fgColor rgb="FFB85B5A"/>
        <bgColor indexed="64"/>
      </patternFill>
    </fill>
    <fill>
      <patternFill patternType="solid">
        <fgColor rgb="FFED6770"/>
        <bgColor indexed="64"/>
      </patternFill>
    </fill>
    <fill>
      <patternFill patternType="solid">
        <fgColor rgb="FF965D3D"/>
        <bgColor indexed="64"/>
      </patternFill>
    </fill>
    <fill>
      <patternFill patternType="solid">
        <fgColor rgb="FF754F44"/>
        <bgColor indexed="64"/>
      </patternFill>
    </fill>
    <fill>
      <patternFill patternType="solid">
        <fgColor rgb="FFF08885"/>
        <bgColor indexed="64"/>
      </patternFill>
    </fill>
    <fill>
      <patternFill patternType="solid">
        <fgColor rgb="FFDB6273"/>
        <bgColor indexed="64"/>
      </patternFill>
    </fill>
    <fill>
      <patternFill patternType="solid">
        <fgColor rgb="FFD27B68"/>
        <bgColor indexed="64"/>
      </patternFill>
    </fill>
    <fill>
      <patternFill patternType="solid">
        <fgColor rgb="FFCB657D"/>
        <bgColor indexed="64"/>
      </patternFill>
    </fill>
    <fill>
      <patternFill patternType="solid">
        <fgColor rgb="FFE3544C"/>
        <bgColor indexed="64"/>
      </patternFill>
    </fill>
    <fill>
      <patternFill patternType="solid">
        <fgColor rgb="FFAA584D"/>
        <bgColor indexed="64"/>
      </patternFill>
    </fill>
    <fill>
      <patternFill patternType="solid">
        <fgColor rgb="FFCE354A"/>
        <bgColor indexed="64"/>
      </patternFill>
    </fill>
    <fill>
      <patternFill patternType="solid">
        <fgColor rgb="FFAB5D6A"/>
        <bgColor indexed="64"/>
      </patternFill>
    </fill>
    <fill>
      <patternFill patternType="solid">
        <fgColor rgb="FFAF695D"/>
        <bgColor indexed="64"/>
      </patternFill>
    </fill>
    <fill>
      <patternFill patternType="solid">
        <fgColor rgb="FFA50C45"/>
        <bgColor indexed="64"/>
      </patternFill>
    </fill>
    <fill>
      <patternFill patternType="solid">
        <fgColor rgb="FF791E27"/>
        <bgColor indexed="64"/>
      </patternFill>
    </fill>
    <fill>
      <patternFill patternType="solid">
        <fgColor rgb="FFC51215"/>
        <bgColor indexed="64"/>
      </patternFill>
    </fill>
    <fill>
      <patternFill patternType="solid">
        <fgColor rgb="FFE43F1F"/>
        <bgColor indexed="64"/>
      </patternFill>
    </fill>
    <fill>
      <patternFill patternType="solid">
        <fgColor rgb="FF292325"/>
        <bgColor indexed="64"/>
      </patternFill>
    </fill>
    <fill>
      <patternFill patternType="solid">
        <fgColor rgb="FFD4CFD3"/>
        <bgColor indexed="64"/>
      </patternFill>
    </fill>
    <fill>
      <patternFill patternType="solid">
        <fgColor rgb="FFCC4736"/>
        <bgColor indexed="64"/>
      </patternFill>
    </fill>
    <fill>
      <patternFill patternType="solid">
        <fgColor rgb="FFD32759"/>
        <bgColor indexed="64"/>
      </patternFill>
    </fill>
    <fill>
      <patternFill patternType="solid">
        <fgColor rgb="FF652732"/>
        <bgColor indexed="64"/>
      </patternFill>
    </fill>
    <fill>
      <patternFill patternType="solid">
        <fgColor rgb="FF3A2427"/>
        <bgColor indexed="64"/>
      </patternFill>
    </fill>
    <fill>
      <patternFill patternType="solid">
        <fgColor rgb="FFED6B87"/>
        <bgColor indexed="64"/>
      </patternFill>
    </fill>
    <fill>
      <patternFill patternType="solid">
        <fgColor rgb="FFD1426D"/>
        <bgColor indexed="64"/>
      </patternFill>
    </fill>
    <fill>
      <patternFill patternType="solid">
        <fgColor rgb="FF959190"/>
        <bgColor indexed="64"/>
      </patternFill>
    </fill>
    <fill>
      <patternFill patternType="solid">
        <fgColor rgb="FFA9DCDA"/>
        <bgColor indexed="64"/>
      </patternFill>
    </fill>
    <fill>
      <patternFill patternType="solid">
        <fgColor rgb="FFFFB9B8"/>
        <bgColor indexed="64"/>
      </patternFill>
    </fill>
    <fill>
      <patternFill patternType="solid">
        <fgColor rgb="FFF9315E"/>
        <bgColor indexed="64"/>
      </patternFill>
    </fill>
    <fill>
      <patternFill patternType="solid">
        <fgColor rgb="FFF60050"/>
        <bgColor indexed="64"/>
      </patternFill>
    </fill>
    <fill>
      <patternFill patternType="solid">
        <fgColor rgb="FFEB607F"/>
        <bgColor indexed="64"/>
      </patternFill>
    </fill>
    <fill>
      <patternFill patternType="solid">
        <fgColor rgb="FFEB8DB3"/>
        <bgColor indexed="64"/>
      </patternFill>
    </fill>
    <fill>
      <patternFill patternType="solid">
        <fgColor rgb="FFFF909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9" fontId="7" fillId="0" borderId="0" applyFont="0" applyFill="0" applyBorder="0" applyAlignment="0" applyProtection="0"/>
  </cellStyleXfs>
  <cellXfs count="239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0" xfId="0" applyNumberFormat="1">
      <alignment vertical="center"/>
    </xf>
    <xf numFmtId="49" fontId="2" fillId="0" borderId="0" xfId="1" applyNumberFormat="1">
      <alignment vertical="center"/>
    </xf>
    <xf numFmtId="9" fontId="0" fillId="0" borderId="0" xfId="0" applyNumberFormat="1">
      <alignment vertical="center"/>
    </xf>
    <xf numFmtId="0" fontId="4" fillId="0" borderId="0" xfId="1" applyFont="1">
      <alignment vertical="center"/>
    </xf>
    <xf numFmtId="0" fontId="0" fillId="0" borderId="0" xfId="0" applyFont="1">
      <alignment vertical="center"/>
    </xf>
    <xf numFmtId="0" fontId="5" fillId="0" borderId="0" xfId="0" applyFont="1">
      <alignment vertical="center"/>
    </xf>
    <xf numFmtId="0" fontId="6" fillId="0" borderId="1" xfId="0" applyFont="1" applyBorder="1">
      <alignment vertical="center"/>
    </xf>
    <xf numFmtId="0" fontId="0" fillId="2" borderId="0" xfId="0" applyFill="1">
      <alignment vertical="center"/>
    </xf>
    <xf numFmtId="0" fontId="0" fillId="3" borderId="0" xfId="0" applyFill="1" applyAlignment="1">
      <alignment horizontal="center"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2" fillId="0" borderId="0" xfId="1" applyNumberFormat="1">
      <alignment vertical="center"/>
    </xf>
    <xf numFmtId="0" fontId="6" fillId="0" borderId="0" xfId="0" applyFont="1">
      <alignment vertical="center"/>
    </xf>
    <xf numFmtId="0" fontId="8" fillId="0" borderId="0" xfId="0" applyFont="1">
      <alignment vertical="center"/>
    </xf>
    <xf numFmtId="0" fontId="11" fillId="0" borderId="0" xfId="0" applyFont="1">
      <alignment vertical="center"/>
    </xf>
    <xf numFmtId="0" fontId="12" fillId="0" borderId="0" xfId="0" applyFont="1">
      <alignment vertical="center"/>
    </xf>
    <xf numFmtId="9" fontId="6" fillId="0" borderId="0" xfId="2" applyFont="1" applyAlignment="1">
      <alignment vertical="center"/>
    </xf>
    <xf numFmtId="9" fontId="0" fillId="0" borderId="0" xfId="2" applyFont="1" applyAlignment="1">
      <alignment vertical="center"/>
    </xf>
    <xf numFmtId="0" fontId="13" fillId="0" borderId="0" xfId="0" applyFont="1">
      <alignment vertical="center"/>
    </xf>
    <xf numFmtId="0" fontId="9" fillId="6" borderId="0" xfId="0" applyFont="1" applyFill="1">
      <alignment vertical="center"/>
    </xf>
    <xf numFmtId="0" fontId="9" fillId="0" borderId="2" xfId="0" applyFont="1" applyBorder="1">
      <alignment vertical="center"/>
    </xf>
    <xf numFmtId="0" fontId="9" fillId="0" borderId="0" xfId="0" applyNumberFormat="1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10" fillId="0" borderId="2" xfId="0" applyFont="1" applyBorder="1">
      <alignment vertical="center"/>
    </xf>
    <xf numFmtId="0" fontId="10" fillId="0" borderId="0" xfId="0" applyNumberFormat="1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9" fontId="10" fillId="0" borderId="0" xfId="0" applyNumberFormat="1" applyFont="1" applyBorder="1" applyAlignment="1">
      <alignment horizontal="center" vertical="center"/>
    </xf>
    <xf numFmtId="0" fontId="8" fillId="0" borderId="2" xfId="0" applyFont="1" applyBorder="1">
      <alignment vertical="center"/>
    </xf>
    <xf numFmtId="0" fontId="8" fillId="0" borderId="0" xfId="0" applyNumberFormat="1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10" fontId="9" fillId="0" borderId="3" xfId="0" applyNumberFormat="1" applyFont="1" applyBorder="1" applyAlignment="1">
      <alignment horizontal="center" vertical="center"/>
    </xf>
    <xf numFmtId="10" fontId="10" fillId="0" borderId="3" xfId="0" applyNumberFormat="1" applyFont="1" applyBorder="1" applyAlignment="1">
      <alignment horizontal="center" vertical="center"/>
    </xf>
    <xf numFmtId="10" fontId="8" fillId="0" borderId="3" xfId="0" applyNumberFormat="1" applyFont="1" applyBorder="1" applyAlignment="1">
      <alignment horizontal="center" vertical="center"/>
    </xf>
    <xf numFmtId="0" fontId="9" fillId="0" borderId="0" xfId="0" applyFont="1" applyFill="1">
      <alignment vertical="center"/>
    </xf>
    <xf numFmtId="0" fontId="10" fillId="0" borderId="0" xfId="0" applyFont="1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0" fillId="11" borderId="0" xfId="0" applyFill="1">
      <alignment vertical="center"/>
    </xf>
    <xf numFmtId="0" fontId="0" fillId="12" borderId="0" xfId="0" applyFill="1">
      <alignment vertical="center"/>
    </xf>
    <xf numFmtId="0" fontId="0" fillId="13" borderId="0" xfId="0" applyFill="1">
      <alignment vertical="center"/>
    </xf>
    <xf numFmtId="0" fontId="0" fillId="14" borderId="0" xfId="0" applyFill="1">
      <alignment vertical="center"/>
    </xf>
    <xf numFmtId="0" fontId="0" fillId="15" borderId="0" xfId="0" applyFill="1">
      <alignment vertical="center"/>
    </xf>
    <xf numFmtId="0" fontId="0" fillId="16" borderId="0" xfId="0" applyFill="1">
      <alignment vertical="center"/>
    </xf>
    <xf numFmtId="0" fontId="0" fillId="17" borderId="0" xfId="0" applyFill="1">
      <alignment vertical="center"/>
    </xf>
    <xf numFmtId="0" fontId="0" fillId="18" borderId="0" xfId="0" applyFill="1">
      <alignment vertical="center"/>
    </xf>
    <xf numFmtId="0" fontId="0" fillId="19" borderId="0" xfId="0" applyFill="1">
      <alignment vertical="center"/>
    </xf>
    <xf numFmtId="0" fontId="0" fillId="20" borderId="0" xfId="0" applyFill="1">
      <alignment vertical="center"/>
    </xf>
    <xf numFmtId="0" fontId="0" fillId="21" borderId="0" xfId="0" applyFill="1">
      <alignment vertical="center"/>
    </xf>
    <xf numFmtId="0" fontId="0" fillId="22" borderId="0" xfId="0" applyFill="1">
      <alignment vertical="center"/>
    </xf>
    <xf numFmtId="0" fontId="0" fillId="23" borderId="0" xfId="0" applyFill="1">
      <alignment vertical="center"/>
    </xf>
    <xf numFmtId="0" fontId="0" fillId="24" borderId="0" xfId="0" applyFill="1">
      <alignment vertical="center"/>
    </xf>
    <xf numFmtId="0" fontId="0" fillId="25" borderId="0" xfId="0" applyFill="1">
      <alignment vertical="center"/>
    </xf>
    <xf numFmtId="0" fontId="0" fillId="26" borderId="0" xfId="0" applyFill="1">
      <alignment vertical="center"/>
    </xf>
    <xf numFmtId="0" fontId="0" fillId="27" borderId="0" xfId="0" applyFill="1">
      <alignment vertical="center"/>
    </xf>
    <xf numFmtId="0" fontId="0" fillId="28" borderId="0" xfId="0" applyFill="1">
      <alignment vertical="center"/>
    </xf>
    <xf numFmtId="0" fontId="0" fillId="29" borderId="0" xfId="0" applyFill="1">
      <alignment vertical="center"/>
    </xf>
    <xf numFmtId="0" fontId="0" fillId="30" borderId="0" xfId="0" applyFill="1">
      <alignment vertical="center"/>
    </xf>
    <xf numFmtId="0" fontId="0" fillId="31" borderId="0" xfId="0" applyFill="1">
      <alignment vertical="center"/>
    </xf>
    <xf numFmtId="0" fontId="0" fillId="32" borderId="0" xfId="0" applyFill="1">
      <alignment vertical="center"/>
    </xf>
    <xf numFmtId="0" fontId="0" fillId="33" borderId="0" xfId="0" applyFill="1">
      <alignment vertical="center"/>
    </xf>
    <xf numFmtId="0" fontId="0" fillId="34" borderId="0" xfId="0" applyFill="1">
      <alignment vertical="center"/>
    </xf>
    <xf numFmtId="0" fontId="0" fillId="35" borderId="0" xfId="0" applyFill="1">
      <alignment vertical="center"/>
    </xf>
    <xf numFmtId="0" fontId="0" fillId="36" borderId="0" xfId="0" applyFill="1">
      <alignment vertical="center"/>
    </xf>
    <xf numFmtId="0" fontId="0" fillId="37" borderId="0" xfId="0" applyFill="1">
      <alignment vertical="center"/>
    </xf>
    <xf numFmtId="0" fontId="0" fillId="38" borderId="0" xfId="0" applyFill="1">
      <alignment vertical="center"/>
    </xf>
    <xf numFmtId="0" fontId="0" fillId="39" borderId="0" xfId="0" applyFill="1">
      <alignment vertical="center"/>
    </xf>
    <xf numFmtId="0" fontId="0" fillId="40" borderId="0" xfId="0" applyFill="1">
      <alignment vertical="center"/>
    </xf>
    <xf numFmtId="0" fontId="0" fillId="41" borderId="0" xfId="0" applyFill="1">
      <alignment vertical="center"/>
    </xf>
    <xf numFmtId="0" fontId="0" fillId="42" borderId="0" xfId="0" applyFill="1">
      <alignment vertical="center"/>
    </xf>
    <xf numFmtId="0" fontId="0" fillId="43" borderId="0" xfId="0" applyFill="1">
      <alignment vertical="center"/>
    </xf>
    <xf numFmtId="0" fontId="0" fillId="44" borderId="0" xfId="0" applyFill="1">
      <alignment vertical="center"/>
    </xf>
    <xf numFmtId="0" fontId="0" fillId="45" borderId="0" xfId="0" applyFill="1">
      <alignment vertical="center"/>
    </xf>
    <xf numFmtId="0" fontId="0" fillId="46" borderId="0" xfId="0" applyFill="1">
      <alignment vertical="center"/>
    </xf>
    <xf numFmtId="0" fontId="0" fillId="47" borderId="0" xfId="0" applyFill="1">
      <alignment vertical="center"/>
    </xf>
    <xf numFmtId="0" fontId="0" fillId="48" borderId="0" xfId="0" applyFill="1">
      <alignment vertical="center"/>
    </xf>
    <xf numFmtId="0" fontId="0" fillId="49" borderId="0" xfId="0" applyFill="1">
      <alignment vertical="center"/>
    </xf>
    <xf numFmtId="0" fontId="0" fillId="50" borderId="0" xfId="0" applyFill="1">
      <alignment vertical="center"/>
    </xf>
    <xf numFmtId="0" fontId="0" fillId="51" borderId="0" xfId="0" applyFill="1">
      <alignment vertical="center"/>
    </xf>
    <xf numFmtId="0" fontId="0" fillId="52" borderId="0" xfId="0" applyFill="1">
      <alignment vertical="center"/>
    </xf>
    <xf numFmtId="0" fontId="0" fillId="53" borderId="0" xfId="0" applyFill="1">
      <alignment vertical="center"/>
    </xf>
    <xf numFmtId="0" fontId="0" fillId="54" borderId="0" xfId="0" applyFill="1">
      <alignment vertical="center"/>
    </xf>
    <xf numFmtId="0" fontId="0" fillId="55" borderId="0" xfId="0" applyFill="1">
      <alignment vertical="center"/>
    </xf>
    <xf numFmtId="0" fontId="0" fillId="56" borderId="0" xfId="0" applyFill="1">
      <alignment vertical="center"/>
    </xf>
    <xf numFmtId="0" fontId="0" fillId="57" borderId="0" xfId="0" applyFill="1">
      <alignment vertical="center"/>
    </xf>
    <xf numFmtId="0" fontId="0" fillId="58" borderId="0" xfId="0" applyFill="1">
      <alignment vertical="center"/>
    </xf>
    <xf numFmtId="0" fontId="0" fillId="59" borderId="0" xfId="0" applyFill="1">
      <alignment vertical="center"/>
    </xf>
    <xf numFmtId="0" fontId="0" fillId="60" borderId="0" xfId="0" applyFill="1">
      <alignment vertical="center"/>
    </xf>
    <xf numFmtId="0" fontId="0" fillId="61" borderId="0" xfId="0" applyFill="1">
      <alignment vertical="center"/>
    </xf>
    <xf numFmtId="0" fontId="0" fillId="62" borderId="0" xfId="0" applyFill="1">
      <alignment vertical="center"/>
    </xf>
    <xf numFmtId="0" fontId="0" fillId="63" borderId="0" xfId="0" applyFill="1">
      <alignment vertical="center"/>
    </xf>
    <xf numFmtId="0" fontId="0" fillId="64" borderId="0" xfId="0" applyFill="1">
      <alignment vertical="center"/>
    </xf>
    <xf numFmtId="0" fontId="0" fillId="65" borderId="0" xfId="0" applyFill="1">
      <alignment vertical="center"/>
    </xf>
    <xf numFmtId="0" fontId="0" fillId="66" borderId="0" xfId="0" applyFill="1">
      <alignment vertical="center"/>
    </xf>
    <xf numFmtId="0" fontId="0" fillId="67" borderId="0" xfId="0" applyFill="1">
      <alignment vertical="center"/>
    </xf>
    <xf numFmtId="0" fontId="0" fillId="68" borderId="0" xfId="0" applyFill="1">
      <alignment vertical="center"/>
    </xf>
    <xf numFmtId="0" fontId="0" fillId="69" borderId="0" xfId="0" applyFill="1">
      <alignment vertical="center"/>
    </xf>
    <xf numFmtId="0" fontId="0" fillId="70" borderId="0" xfId="0" applyFill="1">
      <alignment vertical="center"/>
    </xf>
    <xf numFmtId="0" fontId="0" fillId="71" borderId="0" xfId="0" applyFill="1">
      <alignment vertical="center"/>
    </xf>
    <xf numFmtId="0" fontId="0" fillId="72" borderId="0" xfId="0" applyFill="1">
      <alignment vertical="center"/>
    </xf>
    <xf numFmtId="0" fontId="0" fillId="73" borderId="0" xfId="0" applyFill="1">
      <alignment vertical="center"/>
    </xf>
    <xf numFmtId="0" fontId="0" fillId="74" borderId="0" xfId="0" applyFill="1">
      <alignment vertical="center"/>
    </xf>
    <xf numFmtId="0" fontId="0" fillId="75" borderId="0" xfId="0" applyFill="1">
      <alignment vertical="center"/>
    </xf>
    <xf numFmtId="0" fontId="0" fillId="76" borderId="0" xfId="0" applyFill="1">
      <alignment vertical="center"/>
    </xf>
    <xf numFmtId="0" fontId="0" fillId="77" borderId="0" xfId="0" applyFill="1">
      <alignment vertical="center"/>
    </xf>
    <xf numFmtId="0" fontId="0" fillId="78" borderId="0" xfId="0" applyFill="1">
      <alignment vertical="center"/>
    </xf>
    <xf numFmtId="0" fontId="0" fillId="79" borderId="0" xfId="0" applyFill="1">
      <alignment vertical="center"/>
    </xf>
    <xf numFmtId="0" fontId="0" fillId="80" borderId="0" xfId="0" applyFill="1">
      <alignment vertical="center"/>
    </xf>
    <xf numFmtId="0" fontId="0" fillId="81" borderId="0" xfId="0" applyFill="1">
      <alignment vertical="center"/>
    </xf>
    <xf numFmtId="0" fontId="0" fillId="82" borderId="0" xfId="0" applyFill="1">
      <alignment vertical="center"/>
    </xf>
    <xf numFmtId="0" fontId="0" fillId="83" borderId="0" xfId="0" applyFill="1">
      <alignment vertical="center"/>
    </xf>
    <xf numFmtId="0" fontId="0" fillId="84" borderId="0" xfId="0" applyFill="1">
      <alignment vertical="center"/>
    </xf>
    <xf numFmtId="0" fontId="0" fillId="85" borderId="0" xfId="0" applyFill="1">
      <alignment vertical="center"/>
    </xf>
    <xf numFmtId="0" fontId="0" fillId="86" borderId="0" xfId="0" applyFill="1">
      <alignment vertical="center"/>
    </xf>
    <xf numFmtId="0" fontId="0" fillId="87" borderId="0" xfId="0" applyFill="1">
      <alignment vertical="center"/>
    </xf>
    <xf numFmtId="0" fontId="0" fillId="88" borderId="0" xfId="0" applyFill="1">
      <alignment vertical="center"/>
    </xf>
    <xf numFmtId="0" fontId="0" fillId="89" borderId="0" xfId="0" applyFill="1">
      <alignment vertical="center"/>
    </xf>
    <xf numFmtId="0" fontId="0" fillId="90" borderId="0" xfId="0" applyFill="1">
      <alignment vertical="center"/>
    </xf>
    <xf numFmtId="0" fontId="0" fillId="91" borderId="0" xfId="0" applyFill="1">
      <alignment vertical="center"/>
    </xf>
    <xf numFmtId="0" fontId="0" fillId="92" borderId="0" xfId="0" applyFill="1">
      <alignment vertical="center"/>
    </xf>
    <xf numFmtId="0" fontId="0" fillId="93" borderId="0" xfId="0" applyFill="1">
      <alignment vertical="center"/>
    </xf>
    <xf numFmtId="0" fontId="0" fillId="94" borderId="0" xfId="0" applyFill="1">
      <alignment vertical="center"/>
    </xf>
    <xf numFmtId="0" fontId="0" fillId="95" borderId="0" xfId="0" applyFill="1">
      <alignment vertical="center"/>
    </xf>
    <xf numFmtId="0" fontId="0" fillId="96" borderId="0" xfId="0" applyFill="1">
      <alignment vertical="center"/>
    </xf>
    <xf numFmtId="0" fontId="0" fillId="97" borderId="0" xfId="0" applyFill="1">
      <alignment vertical="center"/>
    </xf>
    <xf numFmtId="0" fontId="0" fillId="98" borderId="0" xfId="0" applyFill="1">
      <alignment vertical="center"/>
    </xf>
    <xf numFmtId="0" fontId="0" fillId="99" borderId="0" xfId="0" applyFill="1">
      <alignment vertical="center"/>
    </xf>
    <xf numFmtId="0" fontId="0" fillId="100" borderId="0" xfId="0" applyFill="1">
      <alignment vertical="center"/>
    </xf>
    <xf numFmtId="0" fontId="0" fillId="101" borderId="0" xfId="0" applyFill="1">
      <alignment vertical="center"/>
    </xf>
    <xf numFmtId="0" fontId="0" fillId="102" borderId="0" xfId="0" applyFill="1">
      <alignment vertical="center"/>
    </xf>
    <xf numFmtId="0" fontId="0" fillId="103" borderId="0" xfId="0" applyFill="1">
      <alignment vertical="center"/>
    </xf>
    <xf numFmtId="0" fontId="0" fillId="104" borderId="0" xfId="0" applyFill="1">
      <alignment vertical="center"/>
    </xf>
    <xf numFmtId="0" fontId="0" fillId="105" borderId="0" xfId="0" applyFill="1">
      <alignment vertical="center"/>
    </xf>
    <xf numFmtId="0" fontId="0" fillId="106" borderId="0" xfId="0" applyFill="1">
      <alignment vertical="center"/>
    </xf>
    <xf numFmtId="0" fontId="0" fillId="107" borderId="0" xfId="0" applyFill="1">
      <alignment vertical="center"/>
    </xf>
    <xf numFmtId="0" fontId="0" fillId="108" borderId="0" xfId="0" applyFill="1">
      <alignment vertical="center"/>
    </xf>
    <xf numFmtId="0" fontId="0" fillId="109" borderId="0" xfId="0" applyFill="1">
      <alignment vertical="center"/>
    </xf>
    <xf numFmtId="0" fontId="0" fillId="110" borderId="0" xfId="0" applyFill="1">
      <alignment vertical="center"/>
    </xf>
    <xf numFmtId="0" fontId="0" fillId="111" borderId="0" xfId="0" applyFill="1">
      <alignment vertical="center"/>
    </xf>
    <xf numFmtId="0" fontId="0" fillId="112" borderId="0" xfId="0" applyFill="1">
      <alignment vertical="center"/>
    </xf>
    <xf numFmtId="0" fontId="0" fillId="113" borderId="0" xfId="0" applyFill="1">
      <alignment vertical="center"/>
    </xf>
    <xf numFmtId="0" fontId="0" fillId="114" borderId="0" xfId="0" applyFill="1">
      <alignment vertical="center"/>
    </xf>
    <xf numFmtId="0" fontId="0" fillId="115" borderId="0" xfId="0" applyFill="1">
      <alignment vertical="center"/>
    </xf>
    <xf numFmtId="0" fontId="0" fillId="116" borderId="0" xfId="0" applyFill="1">
      <alignment vertical="center"/>
    </xf>
    <xf numFmtId="0" fontId="0" fillId="117" borderId="0" xfId="0" applyFill="1">
      <alignment vertical="center"/>
    </xf>
    <xf numFmtId="0" fontId="0" fillId="118" borderId="0" xfId="0" applyFill="1">
      <alignment vertical="center"/>
    </xf>
    <xf numFmtId="0" fontId="0" fillId="119" borderId="0" xfId="0" applyFill="1">
      <alignment vertical="center"/>
    </xf>
    <xf numFmtId="0" fontId="0" fillId="120" borderId="0" xfId="0" applyFill="1">
      <alignment vertical="center"/>
    </xf>
    <xf numFmtId="0" fontId="0" fillId="121" borderId="0" xfId="0" applyFill="1">
      <alignment vertical="center"/>
    </xf>
    <xf numFmtId="0" fontId="0" fillId="122" borderId="0" xfId="0" applyFill="1">
      <alignment vertical="center"/>
    </xf>
    <xf numFmtId="0" fontId="0" fillId="123" borderId="0" xfId="0" applyFill="1">
      <alignment vertical="center"/>
    </xf>
    <xf numFmtId="0" fontId="0" fillId="124" borderId="0" xfId="0" applyFill="1">
      <alignment vertical="center"/>
    </xf>
    <xf numFmtId="0" fontId="0" fillId="125" borderId="0" xfId="0" applyFill="1">
      <alignment vertical="center"/>
    </xf>
    <xf numFmtId="0" fontId="0" fillId="126" borderId="0" xfId="0" applyFill="1">
      <alignment vertical="center"/>
    </xf>
    <xf numFmtId="0" fontId="0" fillId="127" borderId="0" xfId="0" applyFill="1">
      <alignment vertical="center"/>
    </xf>
    <xf numFmtId="0" fontId="0" fillId="128" borderId="0" xfId="0" applyFill="1">
      <alignment vertical="center"/>
    </xf>
    <xf numFmtId="0" fontId="0" fillId="129" borderId="0" xfId="0" applyFill="1">
      <alignment vertical="center"/>
    </xf>
    <xf numFmtId="0" fontId="0" fillId="130" borderId="0" xfId="0" applyFill="1">
      <alignment vertical="center"/>
    </xf>
    <xf numFmtId="0" fontId="0" fillId="131" borderId="0" xfId="0" applyFill="1">
      <alignment vertical="center"/>
    </xf>
    <xf numFmtId="0" fontId="0" fillId="132" borderId="0" xfId="0" applyFill="1">
      <alignment vertical="center"/>
    </xf>
    <xf numFmtId="0" fontId="0" fillId="133" borderId="0" xfId="0" applyFill="1">
      <alignment vertical="center"/>
    </xf>
    <xf numFmtId="0" fontId="0" fillId="134" borderId="0" xfId="0" applyFill="1">
      <alignment vertical="center"/>
    </xf>
    <xf numFmtId="0" fontId="0" fillId="135" borderId="0" xfId="0" applyFill="1">
      <alignment vertical="center"/>
    </xf>
    <xf numFmtId="0" fontId="0" fillId="136" borderId="0" xfId="0" applyFill="1">
      <alignment vertical="center"/>
    </xf>
    <xf numFmtId="0" fontId="0" fillId="137" borderId="0" xfId="0" applyFill="1">
      <alignment vertical="center"/>
    </xf>
    <xf numFmtId="0" fontId="0" fillId="138" borderId="0" xfId="0" applyFill="1">
      <alignment vertical="center"/>
    </xf>
    <xf numFmtId="0" fontId="0" fillId="139" borderId="0" xfId="0" applyFill="1">
      <alignment vertical="center"/>
    </xf>
    <xf numFmtId="0" fontId="0" fillId="140" borderId="0" xfId="0" applyFill="1">
      <alignment vertical="center"/>
    </xf>
    <xf numFmtId="0" fontId="0" fillId="141" borderId="0" xfId="0" applyFill="1">
      <alignment vertical="center"/>
    </xf>
    <xf numFmtId="0" fontId="0" fillId="142" borderId="0" xfId="0" applyFill="1">
      <alignment vertical="center"/>
    </xf>
    <xf numFmtId="0" fontId="0" fillId="143" borderId="0" xfId="0" applyFill="1">
      <alignment vertical="center"/>
    </xf>
    <xf numFmtId="0" fontId="0" fillId="144" borderId="0" xfId="0" applyFill="1">
      <alignment vertical="center"/>
    </xf>
    <xf numFmtId="0" fontId="0" fillId="145" borderId="0" xfId="0" applyFill="1">
      <alignment vertical="center"/>
    </xf>
    <xf numFmtId="0" fontId="0" fillId="146" borderId="0" xfId="0" applyFill="1">
      <alignment vertical="center"/>
    </xf>
    <xf numFmtId="0" fontId="0" fillId="147" borderId="0" xfId="0" applyFill="1">
      <alignment vertical="center"/>
    </xf>
    <xf numFmtId="0" fontId="0" fillId="148" borderId="0" xfId="0" applyFill="1">
      <alignment vertical="center"/>
    </xf>
    <xf numFmtId="0" fontId="0" fillId="149" borderId="0" xfId="0" applyFill="1">
      <alignment vertical="center"/>
    </xf>
    <xf numFmtId="0" fontId="0" fillId="150" borderId="0" xfId="0" applyFill="1">
      <alignment vertical="center"/>
    </xf>
    <xf numFmtId="0" fontId="0" fillId="151" borderId="0" xfId="0" applyFill="1">
      <alignment vertical="center"/>
    </xf>
    <xf numFmtId="0" fontId="0" fillId="152" borderId="0" xfId="0" applyFill="1">
      <alignment vertical="center"/>
    </xf>
    <xf numFmtId="0" fontId="0" fillId="153" borderId="0" xfId="0" applyFill="1">
      <alignment vertical="center"/>
    </xf>
    <xf numFmtId="0" fontId="0" fillId="154" borderId="0" xfId="0" applyFill="1">
      <alignment vertical="center"/>
    </xf>
    <xf numFmtId="0" fontId="0" fillId="155" borderId="0" xfId="0" applyFill="1">
      <alignment vertical="center"/>
    </xf>
    <xf numFmtId="0" fontId="0" fillId="156" borderId="0" xfId="0" applyFill="1">
      <alignment vertical="center"/>
    </xf>
    <xf numFmtId="0" fontId="0" fillId="157" borderId="0" xfId="0" applyFill="1">
      <alignment vertical="center"/>
    </xf>
    <xf numFmtId="0" fontId="0" fillId="158" borderId="0" xfId="0" applyFill="1">
      <alignment vertical="center"/>
    </xf>
    <xf numFmtId="0" fontId="0" fillId="159" borderId="0" xfId="0" applyFill="1">
      <alignment vertical="center"/>
    </xf>
    <xf numFmtId="0" fontId="0" fillId="160" borderId="0" xfId="0" applyFill="1">
      <alignment vertical="center"/>
    </xf>
    <xf numFmtId="0" fontId="0" fillId="161" borderId="0" xfId="0" applyFill="1">
      <alignment vertical="center"/>
    </xf>
    <xf numFmtId="0" fontId="0" fillId="162" borderId="0" xfId="0" applyFill="1">
      <alignment vertical="center"/>
    </xf>
    <xf numFmtId="0" fontId="0" fillId="163" borderId="0" xfId="0" applyFill="1">
      <alignment vertical="center"/>
    </xf>
    <xf numFmtId="0" fontId="0" fillId="164" borderId="0" xfId="0" applyFill="1">
      <alignment vertical="center"/>
    </xf>
    <xf numFmtId="0" fontId="0" fillId="165" borderId="0" xfId="0" applyFill="1">
      <alignment vertical="center"/>
    </xf>
    <xf numFmtId="0" fontId="0" fillId="166" borderId="0" xfId="0" applyFill="1">
      <alignment vertical="center"/>
    </xf>
    <xf numFmtId="0" fontId="0" fillId="167" borderId="0" xfId="0" applyFill="1">
      <alignment vertical="center"/>
    </xf>
    <xf numFmtId="0" fontId="0" fillId="168" borderId="0" xfId="0" applyFill="1">
      <alignment vertical="center"/>
    </xf>
    <xf numFmtId="0" fontId="0" fillId="169" borderId="0" xfId="0" applyFill="1">
      <alignment vertical="center"/>
    </xf>
    <xf numFmtId="0" fontId="0" fillId="170" borderId="0" xfId="0" applyFill="1">
      <alignment vertical="center"/>
    </xf>
    <xf numFmtId="0" fontId="0" fillId="171" borderId="0" xfId="0" applyFill="1">
      <alignment vertical="center"/>
    </xf>
    <xf numFmtId="0" fontId="0" fillId="172" borderId="0" xfId="0" applyFill="1">
      <alignment vertical="center"/>
    </xf>
    <xf numFmtId="0" fontId="0" fillId="173" borderId="0" xfId="0" applyFill="1">
      <alignment vertical="center"/>
    </xf>
    <xf numFmtId="0" fontId="0" fillId="174" borderId="0" xfId="0" applyFill="1">
      <alignment vertical="center"/>
    </xf>
    <xf numFmtId="0" fontId="0" fillId="175" borderId="0" xfId="0" applyFill="1">
      <alignment vertical="center"/>
    </xf>
    <xf numFmtId="0" fontId="0" fillId="176" borderId="0" xfId="0" applyFill="1">
      <alignment vertical="center"/>
    </xf>
    <xf numFmtId="0" fontId="0" fillId="177" borderId="0" xfId="0" applyFill="1">
      <alignment vertical="center"/>
    </xf>
    <xf numFmtId="0" fontId="0" fillId="178" borderId="0" xfId="0" applyFill="1">
      <alignment vertical="center"/>
    </xf>
    <xf numFmtId="0" fontId="0" fillId="179" borderId="0" xfId="0" applyFill="1">
      <alignment vertical="center"/>
    </xf>
    <xf numFmtId="0" fontId="0" fillId="180" borderId="0" xfId="0" applyFill="1">
      <alignment vertical="center"/>
    </xf>
    <xf numFmtId="0" fontId="0" fillId="181" borderId="0" xfId="0" applyFill="1">
      <alignment vertical="center"/>
    </xf>
    <xf numFmtId="0" fontId="0" fillId="182" borderId="0" xfId="0" applyFill="1">
      <alignment vertical="center"/>
    </xf>
    <xf numFmtId="0" fontId="0" fillId="183" borderId="0" xfId="0" applyFill="1">
      <alignment vertical="center"/>
    </xf>
    <xf numFmtId="0" fontId="0" fillId="184" borderId="0" xfId="0" applyFill="1">
      <alignment vertical="center"/>
    </xf>
    <xf numFmtId="0" fontId="0" fillId="185" borderId="0" xfId="0" applyFill="1">
      <alignment vertical="center"/>
    </xf>
    <xf numFmtId="0" fontId="0" fillId="186" borderId="0" xfId="0" applyFill="1">
      <alignment vertical="center"/>
    </xf>
    <xf numFmtId="0" fontId="0" fillId="187" borderId="0" xfId="0" applyFill="1">
      <alignment vertical="center"/>
    </xf>
    <xf numFmtId="0" fontId="0" fillId="188" borderId="0" xfId="0" applyFill="1">
      <alignment vertical="center"/>
    </xf>
    <xf numFmtId="0" fontId="0" fillId="189" borderId="0" xfId="0" applyFill="1">
      <alignment vertical="center"/>
    </xf>
    <xf numFmtId="0" fontId="0" fillId="190" borderId="0" xfId="0" applyFill="1">
      <alignment vertical="center"/>
    </xf>
    <xf numFmtId="0" fontId="0" fillId="191" borderId="0" xfId="0" applyFill="1">
      <alignment vertical="center"/>
    </xf>
    <xf numFmtId="0" fontId="0" fillId="192" borderId="0" xfId="0" applyFill="1">
      <alignment vertical="center"/>
    </xf>
    <xf numFmtId="0" fontId="0" fillId="193" borderId="0" xfId="0" applyFill="1">
      <alignment vertical="center"/>
    </xf>
    <xf numFmtId="0" fontId="0" fillId="194" borderId="0" xfId="0" applyFill="1">
      <alignment vertical="center"/>
    </xf>
    <xf numFmtId="0" fontId="0" fillId="195" borderId="0" xfId="0" applyFill="1">
      <alignment vertical="center"/>
    </xf>
    <xf numFmtId="0" fontId="0" fillId="196" borderId="0" xfId="0" applyFill="1">
      <alignment vertical="center"/>
    </xf>
    <xf numFmtId="0" fontId="0" fillId="197" borderId="0" xfId="0" applyFill="1">
      <alignment vertical="center"/>
    </xf>
    <xf numFmtId="0" fontId="0" fillId="198" borderId="0" xfId="0" applyFill="1">
      <alignment vertical="center"/>
    </xf>
    <xf numFmtId="0" fontId="0" fillId="199" borderId="0" xfId="0" applyFill="1">
      <alignment vertical="center"/>
    </xf>
    <xf numFmtId="0" fontId="0" fillId="200" borderId="0" xfId="0" applyFill="1">
      <alignment vertical="center"/>
    </xf>
    <xf numFmtId="0" fontId="0" fillId="201" borderId="0" xfId="0" applyFill="1">
      <alignment vertical="center"/>
    </xf>
    <xf numFmtId="0" fontId="0" fillId="202" borderId="0" xfId="0" applyFill="1">
      <alignment vertical="center"/>
    </xf>
    <xf numFmtId="0" fontId="0" fillId="203" borderId="0" xfId="0" applyFill="1">
      <alignment vertical="center"/>
    </xf>
    <xf numFmtId="0" fontId="0" fillId="204" borderId="0" xfId="0" applyFill="1">
      <alignment vertical="center"/>
    </xf>
    <xf numFmtId="0" fontId="0" fillId="205" borderId="0" xfId="0" applyFill="1">
      <alignment vertical="center"/>
    </xf>
    <xf numFmtId="0" fontId="0" fillId="206" borderId="0" xfId="0" applyFill="1">
      <alignment vertical="center"/>
    </xf>
    <xf numFmtId="0" fontId="0" fillId="207" borderId="0" xfId="0" applyFill="1">
      <alignment vertical="center"/>
    </xf>
    <xf numFmtId="0" fontId="14" fillId="0" borderId="0" xfId="0" applyFont="1">
      <alignment vertical="center"/>
    </xf>
  </cellXfs>
  <cellStyles count="3">
    <cellStyle name="Hyperlink" xfId="1" builtinId="8"/>
    <cellStyle name="Normal" xfId="0" builtinId="0"/>
    <cellStyle name="Per cent" xfId="2" builtinId="5"/>
  </cellStyles>
  <dxfs count="0"/>
  <tableStyles count="0" defaultTableStyle="TableStyleMedium2" defaultPivotStyle="PivotStyleLight16"/>
  <colors>
    <mruColors>
      <color rgb="FFFFF6F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sharedStrings" Target="sharedStrings.xml" Id="rId8" /><Relationship Type="http://schemas.openxmlformats.org/officeDocument/2006/relationships/worksheet" Target="worksheets/sheet3.xml" Id="rId3" /><Relationship Type="http://schemas.openxmlformats.org/officeDocument/2006/relationships/styles" Target="styles.xml" Id="rId7" /><Relationship Type="http://schemas.openxmlformats.org/officeDocument/2006/relationships/worksheet" Target="worksheets/sheet2.xml" Id="rId2" /><Relationship Type="http://schemas.openxmlformats.org/officeDocument/2006/relationships/worksheet" Target="worksheets/sheet1.xml" Id="rId1" /><Relationship Type="http://schemas.openxmlformats.org/officeDocument/2006/relationships/theme" Target="theme/theme1.xml" Id="rId6" /><Relationship Type="http://schemas.openxmlformats.org/officeDocument/2006/relationships/worksheet" Target="worksheets/sheet5.xml" Id="rId5" /><Relationship Type="http://schemas.openxmlformats.org/officeDocument/2006/relationships/worksheet" Target="worksheets/sheet4.xml" Id="rId4" /><Relationship Type="http://schemas.openxmlformats.org/officeDocument/2006/relationships/calcChain" Target="calcChain.xml" Id="rId9" 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292100</xdr:colOff>
      <xdr:row>11</xdr:row>
      <xdr:rowOff>71620</xdr:rowOff>
    </xdr:from>
    <xdr:to>
      <xdr:col>20</xdr:col>
      <xdr:colOff>596900</xdr:colOff>
      <xdr:row>27</xdr:row>
      <xdr:rowOff>101600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99449D9-6FB1-BF4B-8F7D-E02C63EA81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99700" y="2167120"/>
          <a:ext cx="5689600" cy="3077980"/>
        </a:xfrm>
        <a:prstGeom prst="rect">
          <a:avLst/>
        </a:prstGeom>
      </xdr:spPr>
    </xdr:pic>
    <xdr:clientData/>
  </xdr:twoCellAnchor>
  <xdr:twoCellAnchor editAs="oneCell">
    <xdr:from>
      <xdr:col>12</xdr:col>
      <xdr:colOff>209448</xdr:colOff>
      <xdr:row>30</xdr:row>
      <xdr:rowOff>0</xdr:rowOff>
    </xdr:from>
    <xdr:to>
      <xdr:col>20</xdr:col>
      <xdr:colOff>647700</xdr:colOff>
      <xdr:row>45</xdr:row>
      <xdr:rowOff>101600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3B7D9FD-54DB-334D-80C7-EF332D5E4C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17048" y="5715000"/>
          <a:ext cx="5823052" cy="29591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11</xdr:col>
      <xdr:colOff>254000</xdr:colOff>
      <xdr:row>134</xdr:row>
      <xdr:rowOff>152400</xdr:rowOff>
    </xdr:to>
    <xdr:pic>
      <xdr:nvPicPr>
        <xdr:cNvPr id="2" name="Picture 1" descr="Infographic - match eyeshadow to eye color">
          <a:extLst>
            <a:ext uri="{FF2B5EF4-FFF2-40B4-BE49-F238E27FC236}">
              <a16:creationId xmlns:a16="http://schemas.microsoft.com/office/drawing/2014/main" id="{4AD0BE2F-019B-214E-BBC5-5C5DC858AB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2500"/>
          <a:ext cx="9334500" cy="24726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sephora.cn/product/778026.html?sku=773509" TargetMode="External"/><Relationship Id="rId21" Type="http://schemas.openxmlformats.org/officeDocument/2006/relationships/hyperlink" Target="https://www.sephora.cn/product/7390.html?sku=230562" TargetMode="External"/><Relationship Id="rId42" Type="http://schemas.openxmlformats.org/officeDocument/2006/relationships/hyperlink" Target="https://www.sephora.cn/product/502012.html?sku=501008" TargetMode="External"/><Relationship Id="rId63" Type="http://schemas.openxmlformats.org/officeDocument/2006/relationships/hyperlink" Target="https://www.sephora.cn/product/543064.html?sku=538282" TargetMode="External"/><Relationship Id="rId84" Type="http://schemas.openxmlformats.org/officeDocument/2006/relationships/hyperlink" Target="https://www.sephora.cn/product/755501.html?sku=680108" TargetMode="External"/><Relationship Id="rId138" Type="http://schemas.openxmlformats.org/officeDocument/2006/relationships/hyperlink" Target="https://www.sephora.cn/product/956770.html?sku=939504" TargetMode="External"/><Relationship Id="rId159" Type="http://schemas.openxmlformats.org/officeDocument/2006/relationships/hyperlink" Target="https://www.sephora.cn/product/3420.html?sku=975148" TargetMode="External"/><Relationship Id="rId107" Type="http://schemas.openxmlformats.org/officeDocument/2006/relationships/hyperlink" Target="https://www.sephora.cn/product/755501.html?sku=752552" TargetMode="External"/><Relationship Id="rId11" Type="http://schemas.openxmlformats.org/officeDocument/2006/relationships/hyperlink" Target="https://www.sephora.cn/product/3420.html?sku=23110" TargetMode="External"/><Relationship Id="rId32" Type="http://schemas.openxmlformats.org/officeDocument/2006/relationships/hyperlink" Target="https://www.sephora.cn/product/450577.html?sku=411900" TargetMode="External"/><Relationship Id="rId53" Type="http://schemas.openxmlformats.org/officeDocument/2006/relationships/hyperlink" Target="https://www.sephora.cn/product/543064.html?sku=538271" TargetMode="External"/><Relationship Id="rId74" Type="http://schemas.openxmlformats.org/officeDocument/2006/relationships/hyperlink" Target="https://www.sephora.cn/product/755501.html?sku=680098" TargetMode="External"/><Relationship Id="rId128" Type="http://schemas.openxmlformats.org/officeDocument/2006/relationships/hyperlink" Target="https://www.sephora.cn/product/778026.html?sku=858090" TargetMode="External"/><Relationship Id="rId149" Type="http://schemas.openxmlformats.org/officeDocument/2006/relationships/hyperlink" Target="https://www.sephora.cn/product/962345.html?sku=955017" TargetMode="External"/><Relationship Id="rId5" Type="http://schemas.openxmlformats.org/officeDocument/2006/relationships/hyperlink" Target="https://www.sephora.cn/product/7390.html?sku=20440" TargetMode="External"/><Relationship Id="rId95" Type="http://schemas.openxmlformats.org/officeDocument/2006/relationships/hyperlink" Target="https://www.sephora.cn/product/755501.html?sku=751547" TargetMode="External"/><Relationship Id="rId160" Type="http://schemas.openxmlformats.org/officeDocument/2006/relationships/hyperlink" Target="https://www.sephora.cn/product/3420.html?sku=975152" TargetMode="External"/><Relationship Id="rId22" Type="http://schemas.openxmlformats.org/officeDocument/2006/relationships/hyperlink" Target="https://www.sephora.cn/product/293520.html?sku=267046" TargetMode="External"/><Relationship Id="rId43" Type="http://schemas.openxmlformats.org/officeDocument/2006/relationships/hyperlink" Target="https://www.sephora.cn/product/1853.html?sku=517525" TargetMode="External"/><Relationship Id="rId64" Type="http://schemas.openxmlformats.org/officeDocument/2006/relationships/hyperlink" Target="https://www.sephora.cn/product/543064.html?sku=538283" TargetMode="External"/><Relationship Id="rId118" Type="http://schemas.openxmlformats.org/officeDocument/2006/relationships/hyperlink" Target="https://www.sephora.cn/product/778026.html?sku=773512" TargetMode="External"/><Relationship Id="rId139" Type="http://schemas.openxmlformats.org/officeDocument/2006/relationships/hyperlink" Target="https://www.sephora.cn/product/956770.html?sku=939534" TargetMode="External"/><Relationship Id="rId80" Type="http://schemas.openxmlformats.org/officeDocument/2006/relationships/hyperlink" Target="https://www.sephora.cn/product/755501.html?sku=680104" TargetMode="External"/><Relationship Id="rId85" Type="http://schemas.openxmlformats.org/officeDocument/2006/relationships/hyperlink" Target="https://www.sephora.cn/product/755501.html?sku=680109" TargetMode="External"/><Relationship Id="rId150" Type="http://schemas.openxmlformats.org/officeDocument/2006/relationships/hyperlink" Target="https://www.sephora.cn/product/962345.html?sku=955030" TargetMode="External"/><Relationship Id="rId155" Type="http://schemas.openxmlformats.org/officeDocument/2006/relationships/hyperlink" Target="https://www.sephora.cn/product/962345.html?sku=955021" TargetMode="External"/><Relationship Id="rId12" Type="http://schemas.openxmlformats.org/officeDocument/2006/relationships/hyperlink" Target="https://www.sephora.cn/product/1915.html?sku=23893" TargetMode="External"/><Relationship Id="rId17" Type="http://schemas.openxmlformats.org/officeDocument/2006/relationships/hyperlink" Target="https://www.sephora.cn/product/7390.html?sku=230551" TargetMode="External"/><Relationship Id="rId33" Type="http://schemas.openxmlformats.org/officeDocument/2006/relationships/hyperlink" Target="https://www.sephora.cn/product/450577.html?sku=411901" TargetMode="External"/><Relationship Id="rId38" Type="http://schemas.openxmlformats.org/officeDocument/2006/relationships/hyperlink" Target="https://www.sephora.cn/product/450577.html?sku=411907" TargetMode="External"/><Relationship Id="rId59" Type="http://schemas.openxmlformats.org/officeDocument/2006/relationships/hyperlink" Target="https://www.sephora.cn/product/543064.html?sku=538278" TargetMode="External"/><Relationship Id="rId103" Type="http://schemas.openxmlformats.org/officeDocument/2006/relationships/hyperlink" Target="https://www.sephora.cn/product/755501.html?sku=752519" TargetMode="External"/><Relationship Id="rId108" Type="http://schemas.openxmlformats.org/officeDocument/2006/relationships/hyperlink" Target="https://www.sephora.cn/product/543064.html?sku=767012" TargetMode="External"/><Relationship Id="rId124" Type="http://schemas.openxmlformats.org/officeDocument/2006/relationships/hyperlink" Target="https://www.sephora.cn/product/778026.html?sku=858059" TargetMode="External"/><Relationship Id="rId129" Type="http://schemas.openxmlformats.org/officeDocument/2006/relationships/hyperlink" Target="https://www.sephora.cn/product/3420.html?sku=868013" TargetMode="External"/><Relationship Id="rId54" Type="http://schemas.openxmlformats.org/officeDocument/2006/relationships/hyperlink" Target="https://www.sephora.cn/product/543064.html?sku=538272" TargetMode="External"/><Relationship Id="rId70" Type="http://schemas.openxmlformats.org/officeDocument/2006/relationships/hyperlink" Target="https://www.sephora.cn/product/656504.html?sku=656002" TargetMode="External"/><Relationship Id="rId75" Type="http://schemas.openxmlformats.org/officeDocument/2006/relationships/hyperlink" Target="https://www.sephora.cn/product/755501.html?sku=680099" TargetMode="External"/><Relationship Id="rId91" Type="http://schemas.openxmlformats.org/officeDocument/2006/relationships/hyperlink" Target="https://www.sephora.cn/product/755501.html?sku=680129" TargetMode="External"/><Relationship Id="rId96" Type="http://schemas.openxmlformats.org/officeDocument/2006/relationships/hyperlink" Target="https://www.sephora.cn/product/755501.html?sku=751571" TargetMode="External"/><Relationship Id="rId140" Type="http://schemas.openxmlformats.org/officeDocument/2006/relationships/hyperlink" Target="https://www.sephora.cn/product/956770.html?sku=939512" TargetMode="External"/><Relationship Id="rId145" Type="http://schemas.openxmlformats.org/officeDocument/2006/relationships/hyperlink" Target="https://www.sephora.cn/product/956782.html?sku=948511" TargetMode="External"/><Relationship Id="rId1" Type="http://schemas.openxmlformats.org/officeDocument/2006/relationships/hyperlink" Target="https://ssl3.sephorastatic.cn/products/2/7/3/8/3/1/1_n_05467_640x640.jpg" TargetMode="External"/><Relationship Id="rId6" Type="http://schemas.openxmlformats.org/officeDocument/2006/relationships/hyperlink" Target="https://www.sephora.cn/product/7390.html?sku=20441" TargetMode="External"/><Relationship Id="rId23" Type="http://schemas.openxmlformats.org/officeDocument/2006/relationships/hyperlink" Target="https://www.sephora.cn/product/3420.html?sku=328504" TargetMode="External"/><Relationship Id="rId28" Type="http://schemas.openxmlformats.org/officeDocument/2006/relationships/hyperlink" Target="https://www.sephora.cn/product/450577.html?sku=411896" TargetMode="External"/><Relationship Id="rId49" Type="http://schemas.openxmlformats.org/officeDocument/2006/relationships/hyperlink" Target="https://www.sephora.cn/product/543064.html?sku=538267" TargetMode="External"/><Relationship Id="rId114" Type="http://schemas.openxmlformats.org/officeDocument/2006/relationships/hyperlink" Target="https://www.sephora.cn/product/778026.html?sku=773505" TargetMode="External"/><Relationship Id="rId119" Type="http://schemas.openxmlformats.org/officeDocument/2006/relationships/hyperlink" Target="https://www.sephora.cn/product/778026.html?sku=773513" TargetMode="External"/><Relationship Id="rId44" Type="http://schemas.openxmlformats.org/officeDocument/2006/relationships/hyperlink" Target="https://www.sephora.cn/product/1853.html?sku=517526" TargetMode="External"/><Relationship Id="rId60" Type="http://schemas.openxmlformats.org/officeDocument/2006/relationships/hyperlink" Target="https://www.sephora.cn/product/543064.html?sku=538279" TargetMode="External"/><Relationship Id="rId65" Type="http://schemas.openxmlformats.org/officeDocument/2006/relationships/hyperlink" Target="https://www.sephora.cn/product/543064.html?sku=538284" TargetMode="External"/><Relationship Id="rId81" Type="http://schemas.openxmlformats.org/officeDocument/2006/relationships/hyperlink" Target="https://www.sephora.cn/product/755501.html?sku=680105" TargetMode="External"/><Relationship Id="rId86" Type="http://schemas.openxmlformats.org/officeDocument/2006/relationships/hyperlink" Target="https://www.sephora.cn/product/755501.html?sku=680110" TargetMode="External"/><Relationship Id="rId130" Type="http://schemas.openxmlformats.org/officeDocument/2006/relationships/hyperlink" Target="https://www.sephora.cn/product/905545.html?sku=902502" TargetMode="External"/><Relationship Id="rId135" Type="http://schemas.openxmlformats.org/officeDocument/2006/relationships/hyperlink" Target="https://www.sephora.cn/product/935560.html?sku=908665" TargetMode="External"/><Relationship Id="rId151" Type="http://schemas.openxmlformats.org/officeDocument/2006/relationships/hyperlink" Target="https://www.sephora.cn/product/962345.html?sku=955029" TargetMode="External"/><Relationship Id="rId156" Type="http://schemas.openxmlformats.org/officeDocument/2006/relationships/hyperlink" Target="https://www.sephora.cn/product/971544.html?sku=971051" TargetMode="External"/><Relationship Id="rId13" Type="http://schemas.openxmlformats.org/officeDocument/2006/relationships/hyperlink" Target="https://www.sephora.cn/product/1915.html?sku=23894" TargetMode="External"/><Relationship Id="rId18" Type="http://schemas.openxmlformats.org/officeDocument/2006/relationships/hyperlink" Target="https://www.sephora.cn/product/7390.html?sku=230552" TargetMode="External"/><Relationship Id="rId39" Type="http://schemas.openxmlformats.org/officeDocument/2006/relationships/hyperlink" Target="https://www.sephora.cn/product/502012.html?sku=501004" TargetMode="External"/><Relationship Id="rId109" Type="http://schemas.openxmlformats.org/officeDocument/2006/relationships/hyperlink" Target="https://www.sephora.cn/product/778029.html?sku=767017" TargetMode="External"/><Relationship Id="rId34" Type="http://schemas.openxmlformats.org/officeDocument/2006/relationships/hyperlink" Target="https://www.sephora.cn/product/450577.html?sku=411902" TargetMode="External"/><Relationship Id="rId50" Type="http://schemas.openxmlformats.org/officeDocument/2006/relationships/hyperlink" Target="https://www.sephora.cn/product/543064.html?sku=538268" TargetMode="External"/><Relationship Id="rId55" Type="http://schemas.openxmlformats.org/officeDocument/2006/relationships/hyperlink" Target="https://www.sephora.cn/product/543064.html?sku=538273" TargetMode="External"/><Relationship Id="rId76" Type="http://schemas.openxmlformats.org/officeDocument/2006/relationships/hyperlink" Target="https://www.sephora.cn/product/755501.html?sku=680100" TargetMode="External"/><Relationship Id="rId97" Type="http://schemas.openxmlformats.org/officeDocument/2006/relationships/hyperlink" Target="https://www.sephora.cn/product/755501.html?sku=752513" TargetMode="External"/><Relationship Id="rId104" Type="http://schemas.openxmlformats.org/officeDocument/2006/relationships/hyperlink" Target="https://www.sephora.cn/product/755501.html?sku=752523" TargetMode="External"/><Relationship Id="rId120" Type="http://schemas.openxmlformats.org/officeDocument/2006/relationships/hyperlink" Target="https://www.sephora.cn/product/778026.html?sku=773518" TargetMode="External"/><Relationship Id="rId125" Type="http://schemas.openxmlformats.org/officeDocument/2006/relationships/hyperlink" Target="https://www.sephora.cn/product/778026.html?sku=858060" TargetMode="External"/><Relationship Id="rId141" Type="http://schemas.openxmlformats.org/officeDocument/2006/relationships/hyperlink" Target="https://www.sephora.cn/product/755501.html?sku=941574" TargetMode="External"/><Relationship Id="rId146" Type="http://schemas.openxmlformats.org/officeDocument/2006/relationships/hyperlink" Target="https://www.sephora.cn/product/956782.html?sku=948512" TargetMode="External"/><Relationship Id="rId7" Type="http://schemas.openxmlformats.org/officeDocument/2006/relationships/hyperlink" Target="https://www.sephora.cn/product/7390.html?sku=20442" TargetMode="External"/><Relationship Id="rId71" Type="http://schemas.openxmlformats.org/officeDocument/2006/relationships/hyperlink" Target="https://www.sephora.cn/product/669508.html?sku=661001" TargetMode="External"/><Relationship Id="rId92" Type="http://schemas.openxmlformats.org/officeDocument/2006/relationships/hyperlink" Target="https://www.sephora.cn/product/3420.html?sku=751501" TargetMode="External"/><Relationship Id="rId2" Type="http://schemas.openxmlformats.org/officeDocument/2006/relationships/hyperlink" Target="https://www.sephora.cn/product/7390.html?sku=20437" TargetMode="External"/><Relationship Id="rId29" Type="http://schemas.openxmlformats.org/officeDocument/2006/relationships/hyperlink" Target="https://www.sephora.cn/product/450577.html?sku=411897" TargetMode="External"/><Relationship Id="rId24" Type="http://schemas.openxmlformats.org/officeDocument/2006/relationships/hyperlink" Target="https://www.sephora.cn/product/246001.html?sku=397602" TargetMode="External"/><Relationship Id="rId40" Type="http://schemas.openxmlformats.org/officeDocument/2006/relationships/hyperlink" Target="https://www.sephora.cn/product/502012.html?sku=501006" TargetMode="External"/><Relationship Id="rId45" Type="http://schemas.openxmlformats.org/officeDocument/2006/relationships/hyperlink" Target="https://www.sephora.cn/product/1853.html?sku=517527" TargetMode="External"/><Relationship Id="rId66" Type="http://schemas.openxmlformats.org/officeDocument/2006/relationships/hyperlink" Target="https://www.sephora.cn/product/569095.html?sku=570516" TargetMode="External"/><Relationship Id="rId87" Type="http://schemas.openxmlformats.org/officeDocument/2006/relationships/hyperlink" Target="https://www.sephora.cn/product/755501.html?sku=680111" TargetMode="External"/><Relationship Id="rId110" Type="http://schemas.openxmlformats.org/officeDocument/2006/relationships/hyperlink" Target="https://www.sephora.cn/product/778029.html?sku=767019" TargetMode="External"/><Relationship Id="rId115" Type="http://schemas.openxmlformats.org/officeDocument/2006/relationships/hyperlink" Target="https://www.sephora.cn/product/778026.html?sku=773506" TargetMode="External"/><Relationship Id="rId131" Type="http://schemas.openxmlformats.org/officeDocument/2006/relationships/hyperlink" Target="https://www.sephora.cn/product/905545.html?sku=902503" TargetMode="External"/><Relationship Id="rId136" Type="http://schemas.openxmlformats.org/officeDocument/2006/relationships/hyperlink" Target="https://www.sephora.cn/product/935569.html?sku=908667" TargetMode="External"/><Relationship Id="rId157" Type="http://schemas.openxmlformats.org/officeDocument/2006/relationships/hyperlink" Target="https://www.sephora.cn/product/971542.html?sku=971054" TargetMode="External"/><Relationship Id="rId61" Type="http://schemas.openxmlformats.org/officeDocument/2006/relationships/hyperlink" Target="https://www.sephora.cn/product/543064.html?sku=538280" TargetMode="External"/><Relationship Id="rId82" Type="http://schemas.openxmlformats.org/officeDocument/2006/relationships/hyperlink" Target="https://www.sephora.cn/product/755501.html?sku=680106" TargetMode="External"/><Relationship Id="rId152" Type="http://schemas.openxmlformats.org/officeDocument/2006/relationships/hyperlink" Target="https://www.sephora.cn/product/962345.html?sku=955028" TargetMode="External"/><Relationship Id="rId19" Type="http://schemas.openxmlformats.org/officeDocument/2006/relationships/hyperlink" Target="https://www.sephora.cn/product/7390.html?sku=230553" TargetMode="External"/><Relationship Id="rId14" Type="http://schemas.openxmlformats.org/officeDocument/2006/relationships/hyperlink" Target="https://www.sephora.cn/product/521042.html?sku=35896" TargetMode="External"/><Relationship Id="rId30" Type="http://schemas.openxmlformats.org/officeDocument/2006/relationships/hyperlink" Target="https://www.sephora.cn/product/450577.html?sku=411898" TargetMode="External"/><Relationship Id="rId35" Type="http://schemas.openxmlformats.org/officeDocument/2006/relationships/hyperlink" Target="https://www.sephora.cn/product/450577.html?sku=411903" TargetMode="External"/><Relationship Id="rId56" Type="http://schemas.openxmlformats.org/officeDocument/2006/relationships/hyperlink" Target="https://www.sephora.cn/product/543064.html?sku=538274" TargetMode="External"/><Relationship Id="rId77" Type="http://schemas.openxmlformats.org/officeDocument/2006/relationships/hyperlink" Target="https://www.sephora.cn/product/755501.html?sku=680101" TargetMode="External"/><Relationship Id="rId100" Type="http://schemas.openxmlformats.org/officeDocument/2006/relationships/hyperlink" Target="https://www.sephora.cn/product/755501.html?sku=752516" TargetMode="External"/><Relationship Id="rId105" Type="http://schemas.openxmlformats.org/officeDocument/2006/relationships/hyperlink" Target="https://www.sephora.cn/product/755501.html?sku=752524" TargetMode="External"/><Relationship Id="rId126" Type="http://schemas.openxmlformats.org/officeDocument/2006/relationships/hyperlink" Target="https://www.sephora.cn/product/778026.html?sku=858061" TargetMode="External"/><Relationship Id="rId147" Type="http://schemas.openxmlformats.org/officeDocument/2006/relationships/hyperlink" Target="https://www.sephora.cn/product/962345.html?sku=955010" TargetMode="External"/><Relationship Id="rId8" Type="http://schemas.openxmlformats.org/officeDocument/2006/relationships/hyperlink" Target="https://www.sephora.cn/product/7390.html?sku=20447" TargetMode="External"/><Relationship Id="rId51" Type="http://schemas.openxmlformats.org/officeDocument/2006/relationships/hyperlink" Target="https://www.sephora.cn/product/543064.html?sku=538269" TargetMode="External"/><Relationship Id="rId72" Type="http://schemas.openxmlformats.org/officeDocument/2006/relationships/hyperlink" Target="https://www.sephora.cn/product/669508.html?sku=661002" TargetMode="External"/><Relationship Id="rId93" Type="http://schemas.openxmlformats.org/officeDocument/2006/relationships/hyperlink" Target="https://www.sephora.cn/product/755501.html?sku=751531" TargetMode="External"/><Relationship Id="rId98" Type="http://schemas.openxmlformats.org/officeDocument/2006/relationships/hyperlink" Target="https://www.sephora.cn/product/755501.html?sku=752514" TargetMode="External"/><Relationship Id="rId121" Type="http://schemas.openxmlformats.org/officeDocument/2006/relationships/hyperlink" Target="https://www.sephora.cn/product/778026.html?sku=773519" TargetMode="External"/><Relationship Id="rId142" Type="http://schemas.openxmlformats.org/officeDocument/2006/relationships/hyperlink" Target="https://www.sephora.cn/product/905545.html?sku=948507" TargetMode="External"/><Relationship Id="rId3" Type="http://schemas.openxmlformats.org/officeDocument/2006/relationships/hyperlink" Target="https://www.sephora.cn/product/7390.html?sku=20438" TargetMode="External"/><Relationship Id="rId25" Type="http://schemas.openxmlformats.org/officeDocument/2006/relationships/hyperlink" Target="https://www.sephora.cn/product/450577.html?sku=411893" TargetMode="External"/><Relationship Id="rId46" Type="http://schemas.openxmlformats.org/officeDocument/2006/relationships/hyperlink" Target="https://www.sephora.cn/product/543064.html?sku=538264" TargetMode="External"/><Relationship Id="rId67" Type="http://schemas.openxmlformats.org/officeDocument/2006/relationships/hyperlink" Target="https://www.sephora.cn/product/569095.html?sku=581593" TargetMode="External"/><Relationship Id="rId116" Type="http://schemas.openxmlformats.org/officeDocument/2006/relationships/hyperlink" Target="https://www.sephora.cn/product/778026.html?sku=773508" TargetMode="External"/><Relationship Id="rId137" Type="http://schemas.openxmlformats.org/officeDocument/2006/relationships/hyperlink" Target="https://www.sephora.cn/product/956770.html?sku=939503" TargetMode="External"/><Relationship Id="rId158" Type="http://schemas.openxmlformats.org/officeDocument/2006/relationships/hyperlink" Target="https://www.sephora.cn/product/3420.html?sku=975147" TargetMode="External"/><Relationship Id="rId20" Type="http://schemas.openxmlformats.org/officeDocument/2006/relationships/hyperlink" Target="https://www.sephora.cn/product/7390.html?sku=230555" TargetMode="External"/><Relationship Id="rId41" Type="http://schemas.openxmlformats.org/officeDocument/2006/relationships/hyperlink" Target="https://www.sephora.cn/product/502012.html?sku=501007" TargetMode="External"/><Relationship Id="rId62" Type="http://schemas.openxmlformats.org/officeDocument/2006/relationships/hyperlink" Target="https://www.sephora.cn/product/543064.html?sku=538281" TargetMode="External"/><Relationship Id="rId83" Type="http://schemas.openxmlformats.org/officeDocument/2006/relationships/hyperlink" Target="https://www.sephora.cn/product/755501.html?sku=680107" TargetMode="External"/><Relationship Id="rId88" Type="http://schemas.openxmlformats.org/officeDocument/2006/relationships/hyperlink" Target="https://www.sephora.cn/product/755501.html?sku=680112" TargetMode="External"/><Relationship Id="rId111" Type="http://schemas.openxmlformats.org/officeDocument/2006/relationships/hyperlink" Target="https://www.sephora.cn/product/778029.html?sku=767027" TargetMode="External"/><Relationship Id="rId132" Type="http://schemas.openxmlformats.org/officeDocument/2006/relationships/hyperlink" Target="https://www.sephora.cn/product/905545.html?sku=902505" TargetMode="External"/><Relationship Id="rId153" Type="http://schemas.openxmlformats.org/officeDocument/2006/relationships/hyperlink" Target="https://www.sephora.cn/product/962345.html?sku=955027" TargetMode="External"/><Relationship Id="rId15" Type="http://schemas.openxmlformats.org/officeDocument/2006/relationships/hyperlink" Target="https://www.sephora.cn/product/173561.html?sku=45234" TargetMode="External"/><Relationship Id="rId36" Type="http://schemas.openxmlformats.org/officeDocument/2006/relationships/hyperlink" Target="https://www.sephora.cn/product/450577.html?sku=411905" TargetMode="External"/><Relationship Id="rId57" Type="http://schemas.openxmlformats.org/officeDocument/2006/relationships/hyperlink" Target="https://www.sephora.cn/product/543064.html?sku=538275" TargetMode="External"/><Relationship Id="rId106" Type="http://schemas.openxmlformats.org/officeDocument/2006/relationships/hyperlink" Target="https://www.sephora.cn/product/755501.html?sku=752527" TargetMode="External"/><Relationship Id="rId127" Type="http://schemas.openxmlformats.org/officeDocument/2006/relationships/hyperlink" Target="https://www.sephora.cn/product/889533.html?sku=858067" TargetMode="External"/><Relationship Id="rId10" Type="http://schemas.openxmlformats.org/officeDocument/2006/relationships/hyperlink" Target="https://www.sephora.cn/product/3651.html?sku=23001" TargetMode="External"/><Relationship Id="rId31" Type="http://schemas.openxmlformats.org/officeDocument/2006/relationships/hyperlink" Target="https://www.sephora.cn/product/450577.html?sku=411899" TargetMode="External"/><Relationship Id="rId52" Type="http://schemas.openxmlformats.org/officeDocument/2006/relationships/hyperlink" Target="https://www.sephora.cn/product/543064.html?sku=538270" TargetMode="External"/><Relationship Id="rId73" Type="http://schemas.openxmlformats.org/officeDocument/2006/relationships/hyperlink" Target="https://www.sephora.cn/product/669508.html?sku=661003" TargetMode="External"/><Relationship Id="rId78" Type="http://schemas.openxmlformats.org/officeDocument/2006/relationships/hyperlink" Target="https://www.sephora.cn/product/755501.html?sku=680102" TargetMode="External"/><Relationship Id="rId94" Type="http://schemas.openxmlformats.org/officeDocument/2006/relationships/hyperlink" Target="https://www.sephora.cn/product/755501.html?sku=751546" TargetMode="External"/><Relationship Id="rId99" Type="http://schemas.openxmlformats.org/officeDocument/2006/relationships/hyperlink" Target="https://www.sephora.cn/product/755501.html?sku=752515" TargetMode="External"/><Relationship Id="rId101" Type="http://schemas.openxmlformats.org/officeDocument/2006/relationships/hyperlink" Target="https://www.sephora.cn/product/755501.html?sku=752517" TargetMode="External"/><Relationship Id="rId122" Type="http://schemas.openxmlformats.org/officeDocument/2006/relationships/hyperlink" Target="https://www.sephora.cn/product/889534.html?sku=858055" TargetMode="External"/><Relationship Id="rId143" Type="http://schemas.openxmlformats.org/officeDocument/2006/relationships/hyperlink" Target="https://www.sephora.cn/product/905545.html?sku=948508" TargetMode="External"/><Relationship Id="rId148" Type="http://schemas.openxmlformats.org/officeDocument/2006/relationships/hyperlink" Target="https://www.sephora.cn/product/962345.html?sku=955013" TargetMode="External"/><Relationship Id="rId4" Type="http://schemas.openxmlformats.org/officeDocument/2006/relationships/hyperlink" Target="https://www.sephora.cn/product/7390.html?sku=20439" TargetMode="External"/><Relationship Id="rId9" Type="http://schemas.openxmlformats.org/officeDocument/2006/relationships/hyperlink" Target="https://www.sephora.cn/product/7390.html?sku=20449" TargetMode="External"/><Relationship Id="rId26" Type="http://schemas.openxmlformats.org/officeDocument/2006/relationships/hyperlink" Target="https://www.sephora.cn/product/450577.html?sku=411894" TargetMode="External"/><Relationship Id="rId47" Type="http://schemas.openxmlformats.org/officeDocument/2006/relationships/hyperlink" Target="https://www.sephora.cn/product/543064.html?sku=538265" TargetMode="External"/><Relationship Id="rId68" Type="http://schemas.openxmlformats.org/officeDocument/2006/relationships/hyperlink" Target="https://www.sephora.cn/product/569095.html?sku=581594" TargetMode="External"/><Relationship Id="rId89" Type="http://schemas.openxmlformats.org/officeDocument/2006/relationships/hyperlink" Target="https://www.sephora.cn/product/755501.html?sku=680113" TargetMode="External"/><Relationship Id="rId112" Type="http://schemas.openxmlformats.org/officeDocument/2006/relationships/hyperlink" Target="https://www.sephora.cn/product/778029.html?sku=767042" TargetMode="External"/><Relationship Id="rId133" Type="http://schemas.openxmlformats.org/officeDocument/2006/relationships/hyperlink" Target="https://www.sephora.cn/product/935560.html?sku=908661" TargetMode="External"/><Relationship Id="rId154" Type="http://schemas.openxmlformats.org/officeDocument/2006/relationships/hyperlink" Target="https://www.sephora.cn/product/962345.html?sku=955024" TargetMode="External"/><Relationship Id="rId16" Type="http://schemas.openxmlformats.org/officeDocument/2006/relationships/hyperlink" Target="https://www.sephora.cn/product/217517.html?sku=204030" TargetMode="External"/><Relationship Id="rId37" Type="http://schemas.openxmlformats.org/officeDocument/2006/relationships/hyperlink" Target="https://www.sephora.cn/product/450577.html?sku=411906" TargetMode="External"/><Relationship Id="rId58" Type="http://schemas.openxmlformats.org/officeDocument/2006/relationships/hyperlink" Target="https://www.sephora.cn/product/543064.html?sku=538276" TargetMode="External"/><Relationship Id="rId79" Type="http://schemas.openxmlformats.org/officeDocument/2006/relationships/hyperlink" Target="https://www.sephora.cn/product/755501.html?sku=680103" TargetMode="External"/><Relationship Id="rId102" Type="http://schemas.openxmlformats.org/officeDocument/2006/relationships/hyperlink" Target="https://www.sephora.cn/product/755501.html?sku=752518" TargetMode="External"/><Relationship Id="rId123" Type="http://schemas.openxmlformats.org/officeDocument/2006/relationships/hyperlink" Target="https://www.sephora.cn/product/889534.html?sku=858056" TargetMode="External"/><Relationship Id="rId144" Type="http://schemas.openxmlformats.org/officeDocument/2006/relationships/hyperlink" Target="https://www.sephora.cn/product/905545.html?sku=948510" TargetMode="External"/><Relationship Id="rId90" Type="http://schemas.openxmlformats.org/officeDocument/2006/relationships/hyperlink" Target="https://www.sephora.cn/product/755501.html?sku=680114" TargetMode="External"/><Relationship Id="rId27" Type="http://schemas.openxmlformats.org/officeDocument/2006/relationships/hyperlink" Target="https://www.sephora.cn/product/450577.html?sku=411895" TargetMode="External"/><Relationship Id="rId48" Type="http://schemas.openxmlformats.org/officeDocument/2006/relationships/hyperlink" Target="https://www.sephora.cn/product/543064.html?sku=538266" TargetMode="External"/><Relationship Id="rId69" Type="http://schemas.openxmlformats.org/officeDocument/2006/relationships/hyperlink" Target="https://www.sephora.cn/product/656504.html?sku=629001" TargetMode="External"/><Relationship Id="rId113" Type="http://schemas.openxmlformats.org/officeDocument/2006/relationships/hyperlink" Target="https://www.sephora.cn/product/778026.html?sku=773504" TargetMode="External"/><Relationship Id="rId134" Type="http://schemas.openxmlformats.org/officeDocument/2006/relationships/hyperlink" Target="https://www.sephora.cn/product/935560.html?sku=908662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://www.procato.com/rgb+index/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B362"/>
  <sheetViews>
    <sheetView tabSelected="1" topLeftCell="B1" workbookViewId="0">
      <selection activeCell="M1" sqref="M1"/>
    </sheetView>
  </sheetViews>
  <sheetFormatPr baseColWidth="10" defaultColWidth="8.83203125" defaultRowHeight="15" x14ac:dyDescent="0.2"/>
  <cols>
    <col min="1" max="3" width="8.6640625" style="1"/>
    <col min="4" max="4" width="42" style="1" customWidth="1"/>
    <col min="5" max="5" width="20.33203125" style="1" customWidth="1"/>
    <col min="6" max="6" width="19.1640625" style="2" customWidth="1"/>
    <col min="8" max="8" width="18.6640625" style="29" customWidth="1"/>
    <col min="9" max="9" width="8.33203125" style="30" customWidth="1"/>
    <col min="10" max="10" width="11.6640625" style="31" customWidth="1"/>
    <col min="11" max="11" width="8.83203125" style="34"/>
    <col min="12" max="12" width="18.1640625" style="15" customWidth="1"/>
    <col min="13" max="13" width="18.83203125" style="15" customWidth="1"/>
    <col min="14" max="14" width="27.6640625" style="15" customWidth="1"/>
    <col min="15" max="15" width="23.83203125" style="15" customWidth="1"/>
    <col min="16" max="16" width="14" customWidth="1"/>
    <col min="17" max="17" width="16.83203125" customWidth="1"/>
    <col min="18" max="19" width="14" customWidth="1"/>
    <col min="20" max="23" width="19.6640625" customWidth="1"/>
  </cols>
  <sheetData>
    <row r="1" spans="1:2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1" t="s">
        <v>2228</v>
      </c>
      <c r="H1" s="22" t="s">
        <v>1885</v>
      </c>
      <c r="I1" s="23" t="s">
        <v>1147</v>
      </c>
      <c r="J1" s="24" t="s">
        <v>2222</v>
      </c>
      <c r="K1" s="32" t="s">
        <v>2223</v>
      </c>
      <c r="L1" s="35" t="s">
        <v>2224</v>
      </c>
      <c r="M1" s="21" t="s">
        <v>2250</v>
      </c>
      <c r="N1" s="35" t="s">
        <v>2227</v>
      </c>
      <c r="O1" s="36"/>
      <c r="P1" s="1" t="s">
        <v>1875</v>
      </c>
      <c r="Q1" s="1" t="s">
        <v>1876</v>
      </c>
      <c r="R1" s="1" t="s">
        <v>1814</v>
      </c>
      <c r="S1" s="1" t="s">
        <v>1815</v>
      </c>
      <c r="T1" s="1" t="s">
        <v>1817</v>
      </c>
      <c r="U1" s="1" t="s">
        <v>1819</v>
      </c>
      <c r="V1" s="1" t="s">
        <v>1837</v>
      </c>
      <c r="W1" s="1" t="s">
        <v>1838</v>
      </c>
      <c r="X1" s="1" t="s">
        <v>1822</v>
      </c>
      <c r="Y1" s="1" t="s">
        <v>1850</v>
      </c>
      <c r="Z1" s="1" t="s">
        <v>1824</v>
      </c>
      <c r="AA1" s="1" t="s">
        <v>1825</v>
      </c>
      <c r="AB1" s="1" t="s">
        <v>1827</v>
      </c>
    </row>
    <row r="2" spans="1:28" x14ac:dyDescent="0.2">
      <c r="A2" s="1" t="s">
        <v>6</v>
      </c>
      <c r="B2" s="1" t="s">
        <v>7</v>
      </c>
      <c r="C2" s="1" t="s">
        <v>8</v>
      </c>
      <c r="D2" s="1" t="s">
        <v>9</v>
      </c>
      <c r="E2" s="1" t="s">
        <v>10</v>
      </c>
      <c r="F2" s="13" t="s">
        <v>11</v>
      </c>
      <c r="G2" s="37" t="s">
        <v>872</v>
      </c>
      <c r="H2" s="25" t="s">
        <v>1886</v>
      </c>
      <c r="I2" s="26">
        <v>4</v>
      </c>
      <c r="J2" s="27" t="s">
        <v>2087</v>
      </c>
      <c r="K2" s="33">
        <v>0.73299999999999998</v>
      </c>
      <c r="L2" s="20" t="str">
        <f>VLOOKUP(I2,'HSL categorization'!$A$2:$B$49,2,1)</f>
        <v>Red</v>
      </c>
      <c r="M2" s="20"/>
      <c r="N2" s="20" t="str">
        <f>VLOOKUP(VALUE(K2),'HSL categorization'!D:E,2,TRUE)</f>
        <v>Light</v>
      </c>
      <c r="O2" s="20"/>
      <c r="P2" s="1" t="s">
        <v>1877</v>
      </c>
      <c r="Q2" s="1" t="s">
        <v>1826</v>
      </c>
      <c r="R2" s="1" t="s">
        <v>1821</v>
      </c>
      <c r="S2" s="1" t="s">
        <v>1816</v>
      </c>
      <c r="T2" s="1" t="s">
        <v>1818</v>
      </c>
      <c r="U2" s="1" t="s">
        <v>1820</v>
      </c>
      <c r="V2" s="1"/>
      <c r="W2" s="1"/>
      <c r="X2" s="4"/>
      <c r="Y2" s="4" t="s">
        <v>1851</v>
      </c>
      <c r="Z2" s="1"/>
      <c r="AA2">
        <v>4.4000000000000004</v>
      </c>
      <c r="AB2" t="s">
        <v>1828</v>
      </c>
    </row>
    <row r="3" spans="1:28" x14ac:dyDescent="0.2">
      <c r="A3" s="1" t="s">
        <v>12</v>
      </c>
      <c r="B3" s="1" t="s">
        <v>13</v>
      </c>
      <c r="C3" s="1" t="s">
        <v>8</v>
      </c>
      <c r="D3" s="1" t="s">
        <v>9</v>
      </c>
      <c r="E3" s="3" t="s">
        <v>14</v>
      </c>
      <c r="F3" s="13" t="s">
        <v>15</v>
      </c>
      <c r="G3" s="38" t="s">
        <v>873</v>
      </c>
      <c r="H3" s="25" t="s">
        <v>1887</v>
      </c>
      <c r="I3" s="26">
        <v>343</v>
      </c>
      <c r="J3" s="27" t="s">
        <v>2088</v>
      </c>
      <c r="K3" s="33">
        <v>0.68799999999999994</v>
      </c>
      <c r="L3" s="20" t="str">
        <f>VLOOKUP(I3,'HSL categorization'!$A$2:$B$49,2,1)</f>
        <v>Raspberry</v>
      </c>
      <c r="M3" s="20"/>
      <c r="N3" s="20" t="str">
        <f>VLOOKUP(VALUE(K3),'HSL categorization'!D:E,2,TRUE)</f>
        <v>Medium</v>
      </c>
      <c r="O3" s="20"/>
      <c r="P3" s="1" t="s">
        <v>1877</v>
      </c>
      <c r="Q3" s="1" t="s">
        <v>1826</v>
      </c>
      <c r="R3" s="1" t="s">
        <v>1821</v>
      </c>
      <c r="S3" s="1" t="s">
        <v>1816</v>
      </c>
      <c r="T3" s="1" t="s">
        <v>1818</v>
      </c>
      <c r="U3" s="1" t="s">
        <v>1820</v>
      </c>
      <c r="V3" s="1"/>
      <c r="W3" s="1"/>
      <c r="X3" s="4"/>
      <c r="Y3" s="4" t="s">
        <v>1851</v>
      </c>
      <c r="Z3" s="1"/>
      <c r="AA3">
        <v>4.4000000000000004</v>
      </c>
      <c r="AB3" t="s">
        <v>1828</v>
      </c>
    </row>
    <row r="4" spans="1:28" x14ac:dyDescent="0.2">
      <c r="A4" s="1" t="s">
        <v>16</v>
      </c>
      <c r="B4" s="1" t="s">
        <v>17</v>
      </c>
      <c r="C4" s="1" t="s">
        <v>8</v>
      </c>
      <c r="D4" s="1" t="s">
        <v>9</v>
      </c>
      <c r="E4" s="1" t="s">
        <v>18</v>
      </c>
      <c r="F4" s="13" t="s">
        <v>19</v>
      </c>
      <c r="G4" s="39" t="s">
        <v>874</v>
      </c>
      <c r="H4" s="25" t="s">
        <v>1888</v>
      </c>
      <c r="I4" s="26">
        <v>3</v>
      </c>
      <c r="J4" s="27" t="s">
        <v>2089</v>
      </c>
      <c r="K4" s="33">
        <v>0.67100000000000004</v>
      </c>
      <c r="L4" s="20" t="str">
        <f>VLOOKUP(I4,'HSL categorization'!$A$2:$B$49,2,1)</f>
        <v>Red</v>
      </c>
      <c r="M4" s="20"/>
      <c r="N4" s="20" t="str">
        <f>VLOOKUP(VALUE(K4),'HSL categorization'!D:E,2,TRUE)</f>
        <v>Medium</v>
      </c>
      <c r="O4" s="20"/>
      <c r="P4" s="1" t="s">
        <v>1877</v>
      </c>
      <c r="Q4" s="1" t="s">
        <v>1826</v>
      </c>
      <c r="R4" s="1" t="s">
        <v>1821</v>
      </c>
      <c r="S4" s="1" t="s">
        <v>1816</v>
      </c>
      <c r="T4" s="1" t="s">
        <v>1818</v>
      </c>
      <c r="U4" s="1" t="s">
        <v>1820</v>
      </c>
      <c r="V4" s="1"/>
      <c r="W4" s="1"/>
      <c r="X4" s="4"/>
      <c r="Y4" s="4" t="s">
        <v>1851</v>
      </c>
      <c r="Z4" s="1"/>
      <c r="AA4">
        <v>4.4000000000000004</v>
      </c>
      <c r="AB4" t="s">
        <v>1828</v>
      </c>
    </row>
    <row r="5" spans="1:28" x14ac:dyDescent="0.2">
      <c r="A5" s="1" t="s">
        <v>20</v>
      </c>
      <c r="B5" s="1" t="s">
        <v>21</v>
      </c>
      <c r="C5" s="1" t="s">
        <v>8</v>
      </c>
      <c r="D5" s="1" t="s">
        <v>9</v>
      </c>
      <c r="E5" s="1" t="s">
        <v>22</v>
      </c>
      <c r="F5" s="13" t="s">
        <v>23</v>
      </c>
      <c r="G5" s="40" t="s">
        <v>875</v>
      </c>
      <c r="H5" s="25" t="s">
        <v>1889</v>
      </c>
      <c r="I5" s="26">
        <v>8</v>
      </c>
      <c r="J5" s="27" t="s">
        <v>2090</v>
      </c>
      <c r="K5" s="33">
        <v>0.72699999999999998</v>
      </c>
      <c r="L5" s="20" t="str">
        <f>VLOOKUP(I5,'HSL categorization'!$A$2:$B$49,2,1)</f>
        <v>Scarlet</v>
      </c>
      <c r="M5" s="20"/>
      <c r="N5" s="20" t="str">
        <f>VLOOKUP(VALUE(K5),'HSL categorization'!D:E,2,TRUE)</f>
        <v>Light</v>
      </c>
      <c r="O5" s="20"/>
      <c r="P5" s="1" t="s">
        <v>1877</v>
      </c>
      <c r="Q5" s="1" t="s">
        <v>1826</v>
      </c>
      <c r="R5" s="1" t="s">
        <v>1821</v>
      </c>
      <c r="S5" s="1" t="s">
        <v>1816</v>
      </c>
      <c r="T5" s="1" t="s">
        <v>1818</v>
      </c>
      <c r="U5" s="1" t="s">
        <v>1820</v>
      </c>
      <c r="V5" s="1"/>
      <c r="W5" s="1"/>
      <c r="X5" s="4"/>
      <c r="Y5" s="4" t="s">
        <v>1851</v>
      </c>
      <c r="Z5" s="1"/>
      <c r="AA5">
        <v>4.4000000000000004</v>
      </c>
      <c r="AB5" t="s">
        <v>1828</v>
      </c>
    </row>
    <row r="6" spans="1:28" x14ac:dyDescent="0.2">
      <c r="A6" s="1" t="s">
        <v>24</v>
      </c>
      <c r="B6" s="1" t="s">
        <v>25</v>
      </c>
      <c r="C6" s="1" t="s">
        <v>8</v>
      </c>
      <c r="D6" s="1" t="s">
        <v>9</v>
      </c>
      <c r="E6" s="1" t="s">
        <v>26</v>
      </c>
      <c r="F6" s="13" t="s">
        <v>27</v>
      </c>
      <c r="G6" s="41" t="s">
        <v>876</v>
      </c>
      <c r="H6" s="25" t="s">
        <v>1890</v>
      </c>
      <c r="I6" s="26">
        <v>359</v>
      </c>
      <c r="J6" s="27" t="s">
        <v>2091</v>
      </c>
      <c r="K6" s="33">
        <v>0.72499999999999998</v>
      </c>
      <c r="L6" s="20" t="str">
        <f>VLOOKUP(I6,'HSL categorization'!$A$2:$B$49,2,1)</f>
        <v>Amaranth</v>
      </c>
      <c r="M6" s="20"/>
      <c r="N6" s="20" t="str">
        <f>VLOOKUP(VALUE(K6),'HSL categorization'!D:E,2,TRUE)</f>
        <v>Light</v>
      </c>
      <c r="O6" s="20"/>
      <c r="P6" s="1" t="s">
        <v>1877</v>
      </c>
      <c r="Q6" s="1" t="s">
        <v>1826</v>
      </c>
      <c r="R6" s="1" t="s">
        <v>1821</v>
      </c>
      <c r="S6" s="1" t="s">
        <v>1816</v>
      </c>
      <c r="T6" s="1" t="s">
        <v>1818</v>
      </c>
      <c r="U6" s="1" t="s">
        <v>1820</v>
      </c>
      <c r="V6" s="1"/>
      <c r="W6" s="1"/>
      <c r="X6" s="4"/>
      <c r="Y6" s="4" t="s">
        <v>1851</v>
      </c>
      <c r="Z6" s="1"/>
      <c r="AA6">
        <v>4.4000000000000004</v>
      </c>
      <c r="AB6" t="s">
        <v>1828</v>
      </c>
    </row>
    <row r="7" spans="1:28" x14ac:dyDescent="0.2">
      <c r="A7" s="1" t="s">
        <v>28</v>
      </c>
      <c r="B7" s="1" t="s">
        <v>29</v>
      </c>
      <c r="C7" s="1" t="s">
        <v>8</v>
      </c>
      <c r="D7" s="1" t="s">
        <v>9</v>
      </c>
      <c r="E7" s="1" t="s">
        <v>30</v>
      </c>
      <c r="F7" s="13" t="s">
        <v>31</v>
      </c>
      <c r="G7" s="42" t="s">
        <v>877</v>
      </c>
      <c r="H7" s="25" t="s">
        <v>1891</v>
      </c>
      <c r="I7" s="26">
        <v>352</v>
      </c>
      <c r="J7" s="27" t="s">
        <v>2092</v>
      </c>
      <c r="K7" s="33">
        <v>0.65300000000000002</v>
      </c>
      <c r="L7" s="20" t="str">
        <f>VLOOKUP(I7,'HSL categorization'!$A$2:$B$49,2,1)</f>
        <v>Crimson</v>
      </c>
      <c r="M7" s="20"/>
      <c r="N7" s="20" t="str">
        <f>VLOOKUP(VALUE(K7),'HSL categorization'!D:E,2,TRUE)</f>
        <v>Medium</v>
      </c>
      <c r="O7" s="20"/>
      <c r="P7" s="1" t="s">
        <v>1877</v>
      </c>
      <c r="Q7" s="1" t="s">
        <v>1826</v>
      </c>
      <c r="R7" s="1" t="s">
        <v>1821</v>
      </c>
      <c r="S7" s="1" t="s">
        <v>1816</v>
      </c>
      <c r="T7" s="1" t="s">
        <v>1818</v>
      </c>
      <c r="U7" s="1" t="s">
        <v>1820</v>
      </c>
      <c r="V7" s="1"/>
      <c r="W7" s="1"/>
      <c r="X7" s="4"/>
      <c r="Y7" s="4" t="s">
        <v>1851</v>
      </c>
      <c r="Z7" s="1"/>
      <c r="AA7">
        <v>4.4000000000000004</v>
      </c>
      <c r="AB7" t="s">
        <v>1828</v>
      </c>
    </row>
    <row r="8" spans="1:28" x14ac:dyDescent="0.2">
      <c r="A8" s="1" t="s">
        <v>32</v>
      </c>
      <c r="B8" s="1" t="s">
        <v>33</v>
      </c>
      <c r="C8" s="1" t="s">
        <v>8</v>
      </c>
      <c r="D8" s="1" t="s">
        <v>9</v>
      </c>
      <c r="E8" s="1" t="s">
        <v>34</v>
      </c>
      <c r="F8" s="13" t="s">
        <v>35</v>
      </c>
      <c r="G8" s="43" t="s">
        <v>878</v>
      </c>
      <c r="H8" s="25" t="s">
        <v>1892</v>
      </c>
      <c r="I8" s="26">
        <v>9</v>
      </c>
      <c r="J8" s="27" t="s">
        <v>2093</v>
      </c>
      <c r="K8" s="33">
        <v>0.73899999999999999</v>
      </c>
      <c r="L8" s="20" t="str">
        <f>VLOOKUP(I8,'HSL categorization'!$A$2:$B$49,2,1)</f>
        <v>Scarlet</v>
      </c>
      <c r="M8" s="20"/>
      <c r="N8" s="20" t="str">
        <f>VLOOKUP(VALUE(K8),'HSL categorization'!D:E,2,TRUE)</f>
        <v>Light</v>
      </c>
      <c r="O8" s="20"/>
      <c r="P8" s="1" t="s">
        <v>1877</v>
      </c>
      <c r="Q8" s="1" t="s">
        <v>1826</v>
      </c>
      <c r="R8" s="1" t="s">
        <v>1821</v>
      </c>
      <c r="S8" s="1" t="s">
        <v>1816</v>
      </c>
      <c r="T8" s="1" t="s">
        <v>1818</v>
      </c>
      <c r="U8" s="1" t="s">
        <v>1820</v>
      </c>
      <c r="V8" s="1"/>
      <c r="W8" s="1"/>
      <c r="X8" s="4"/>
      <c r="Y8" s="4" t="s">
        <v>1851</v>
      </c>
      <c r="Z8" s="1"/>
      <c r="AA8">
        <v>4.4000000000000004</v>
      </c>
      <c r="AB8" t="s">
        <v>1828</v>
      </c>
    </row>
    <row r="9" spans="1:28" x14ac:dyDescent="0.2">
      <c r="A9" s="1" t="s">
        <v>36</v>
      </c>
      <c r="B9" s="1" t="s">
        <v>37</v>
      </c>
      <c r="C9" s="1" t="s">
        <v>8</v>
      </c>
      <c r="D9" s="1" t="s">
        <v>9</v>
      </c>
      <c r="E9" s="1" t="s">
        <v>38</v>
      </c>
      <c r="F9" s="13" t="s">
        <v>39</v>
      </c>
      <c r="G9" s="44" t="s">
        <v>879</v>
      </c>
      <c r="H9" s="25" t="s">
        <v>1893</v>
      </c>
      <c r="I9" s="26">
        <v>353</v>
      </c>
      <c r="J9" s="27" t="s">
        <v>2094</v>
      </c>
      <c r="K9" s="33">
        <v>0.67300000000000004</v>
      </c>
      <c r="L9" s="20" t="str">
        <f>VLOOKUP(I9,'HSL categorization'!$A$2:$B$49,2,1)</f>
        <v>Amaranth</v>
      </c>
      <c r="M9" s="20"/>
      <c r="N9" s="20" t="str">
        <f>VLOOKUP(VALUE(K9),'HSL categorization'!D:E,2,TRUE)</f>
        <v>Medium</v>
      </c>
      <c r="O9" s="20"/>
      <c r="P9" s="1" t="s">
        <v>1877</v>
      </c>
      <c r="Q9" s="1" t="s">
        <v>1826</v>
      </c>
      <c r="R9" s="1" t="s">
        <v>1821</v>
      </c>
      <c r="S9" s="1" t="s">
        <v>1816</v>
      </c>
      <c r="T9" s="1" t="s">
        <v>1818</v>
      </c>
      <c r="U9" s="1" t="s">
        <v>1820</v>
      </c>
      <c r="V9" s="1"/>
      <c r="W9" s="1"/>
      <c r="X9" s="4"/>
      <c r="Y9" s="4" t="s">
        <v>1851</v>
      </c>
      <c r="Z9" s="1"/>
      <c r="AA9">
        <v>4.4000000000000004</v>
      </c>
      <c r="AB9" t="s">
        <v>1828</v>
      </c>
    </row>
    <row r="10" spans="1:28" x14ac:dyDescent="0.2">
      <c r="A10" s="1" t="s">
        <v>40</v>
      </c>
      <c r="B10" s="1" t="s">
        <v>41</v>
      </c>
      <c r="C10" s="1" t="s">
        <v>42</v>
      </c>
      <c r="D10" s="1" t="s">
        <v>43</v>
      </c>
      <c r="E10" s="1" t="s">
        <v>44</v>
      </c>
      <c r="F10" s="13" t="s">
        <v>45</v>
      </c>
      <c r="G10" s="45" t="s">
        <v>1006</v>
      </c>
      <c r="H10" s="25" t="s">
        <v>1894</v>
      </c>
      <c r="I10" s="26">
        <v>3</v>
      </c>
      <c r="J10" s="27" t="s">
        <v>2095</v>
      </c>
      <c r="K10" s="33">
        <v>0.81599999999999995</v>
      </c>
      <c r="L10" s="20" t="str">
        <f>VLOOKUP(I10,'HSL categorization'!$A$2:$B$49,2,1)</f>
        <v>Red</v>
      </c>
      <c r="M10" s="20"/>
      <c r="N10" s="20" t="str">
        <f>VLOOKUP(VALUE(K10),'HSL categorization'!D:E,2,TRUE)</f>
        <v>Light</v>
      </c>
      <c r="O10" s="20"/>
      <c r="P10" s="1" t="s">
        <v>1878</v>
      </c>
      <c r="Q10" s="1" t="s">
        <v>1829</v>
      </c>
      <c r="R10" s="1" t="s">
        <v>1821</v>
      </c>
      <c r="S10" s="1" t="s">
        <v>1823</v>
      </c>
      <c r="T10" s="1" t="s">
        <v>1830</v>
      </c>
      <c r="U10" s="4" t="s">
        <v>1831</v>
      </c>
      <c r="V10" s="4"/>
      <c r="W10" s="4"/>
      <c r="Z10" s="1"/>
      <c r="AA10">
        <v>4.5</v>
      </c>
      <c r="AB10" t="s">
        <v>1832</v>
      </c>
    </row>
    <row r="11" spans="1:28" x14ac:dyDescent="0.2">
      <c r="A11" s="1" t="s">
        <v>46</v>
      </c>
      <c r="B11" s="1" t="s">
        <v>47</v>
      </c>
      <c r="C11" s="1" t="s">
        <v>48</v>
      </c>
      <c r="D11" s="1" t="s">
        <v>49</v>
      </c>
      <c r="E11" s="1" t="s">
        <v>50</v>
      </c>
      <c r="F11" s="13" t="s">
        <v>51</v>
      </c>
      <c r="G11" s="46" t="s">
        <v>1007</v>
      </c>
      <c r="H11" s="25" t="s">
        <v>1895</v>
      </c>
      <c r="I11" s="26">
        <v>1</v>
      </c>
      <c r="J11" s="27" t="s">
        <v>2096</v>
      </c>
      <c r="K11" s="33">
        <v>0.81599999999999995</v>
      </c>
      <c r="L11" s="20" t="str">
        <f>VLOOKUP(I11,'HSL categorization'!$A$2:$B$49,2,1)</f>
        <v>Red</v>
      </c>
      <c r="M11" s="20"/>
      <c r="N11" s="20" t="str">
        <f>VLOOKUP(VALUE(K11),'HSL categorization'!D:E,2,TRUE)</f>
        <v>Light</v>
      </c>
      <c r="O11" s="20"/>
      <c r="P11" s="1" t="s">
        <v>1878</v>
      </c>
      <c r="Q11" s="1" t="s">
        <v>1835</v>
      </c>
      <c r="R11" s="1" t="s">
        <v>1821</v>
      </c>
      <c r="S11" s="1" t="s">
        <v>1823</v>
      </c>
      <c r="T11" s="1" t="s">
        <v>1834</v>
      </c>
      <c r="U11" s="4" t="s">
        <v>1836</v>
      </c>
      <c r="V11" s="4" t="s">
        <v>1839</v>
      </c>
      <c r="W11" s="4" t="s">
        <v>1831</v>
      </c>
      <c r="AA11">
        <v>4.5999999999999996</v>
      </c>
      <c r="AB11" t="s">
        <v>1833</v>
      </c>
    </row>
    <row r="12" spans="1:28" x14ac:dyDescent="0.2">
      <c r="A12" s="1" t="s">
        <v>52</v>
      </c>
      <c r="B12" s="1" t="s">
        <v>53</v>
      </c>
      <c r="C12" s="1" t="s">
        <v>54</v>
      </c>
      <c r="D12" s="1" t="s">
        <v>55</v>
      </c>
      <c r="E12" s="1" t="s">
        <v>56</v>
      </c>
      <c r="F12" s="13" t="s">
        <v>57</v>
      </c>
      <c r="G12" s="47" t="s">
        <v>889</v>
      </c>
      <c r="H12" s="25" t="s">
        <v>1896</v>
      </c>
      <c r="I12" s="26">
        <v>0</v>
      </c>
      <c r="J12" s="28">
        <v>0</v>
      </c>
      <c r="K12" s="33">
        <v>0</v>
      </c>
      <c r="L12" s="20" t="str">
        <f>VLOOKUP(I12,'HSL categorization'!$A$2:$B$49,2,1)</f>
        <v>Red</v>
      </c>
      <c r="M12" s="20"/>
      <c r="N12" s="20" t="str">
        <f>VLOOKUP(VALUE(K12),'HSL categorization'!D:E,2,TRUE)</f>
        <v>Dark</v>
      </c>
      <c r="O12" s="20"/>
      <c r="P12" s="1" t="s">
        <v>1879</v>
      </c>
      <c r="Q12" s="1" t="s">
        <v>1840</v>
      </c>
      <c r="R12" s="1" t="s">
        <v>1821</v>
      </c>
      <c r="S12" s="1" t="s">
        <v>1816</v>
      </c>
      <c r="T12" s="1" t="s">
        <v>1882</v>
      </c>
      <c r="U12" s="1" t="s">
        <v>1820</v>
      </c>
      <c r="AA12">
        <v>4.0999999999999996</v>
      </c>
      <c r="AB12" t="s">
        <v>1832</v>
      </c>
    </row>
    <row r="13" spans="1:28" x14ac:dyDescent="0.2">
      <c r="A13" s="1" t="s">
        <v>58</v>
      </c>
      <c r="B13" s="1" t="s">
        <v>59</v>
      </c>
      <c r="C13" s="1" t="s">
        <v>54</v>
      </c>
      <c r="D13" s="1" t="s">
        <v>55</v>
      </c>
      <c r="E13" s="1" t="s">
        <v>60</v>
      </c>
      <c r="F13" s="13" t="s">
        <v>61</v>
      </c>
      <c r="G13" s="48" t="s">
        <v>891</v>
      </c>
      <c r="H13" s="25" t="s">
        <v>1897</v>
      </c>
      <c r="I13" s="26">
        <v>21</v>
      </c>
      <c r="J13" s="27" t="s">
        <v>2097</v>
      </c>
      <c r="K13" s="33">
        <v>0.53300000000000003</v>
      </c>
      <c r="L13" s="20" t="str">
        <f>VLOOKUP(I13,'HSL categorization'!$A$2:$B$49,2,1)</f>
        <v>Vermilion</v>
      </c>
      <c r="M13" s="20"/>
      <c r="N13" s="20" t="str">
        <f>VLOOKUP(VALUE(K13),'HSL categorization'!D:E,2,TRUE)</f>
        <v>Medium</v>
      </c>
      <c r="O13" s="20"/>
      <c r="P13" s="1" t="s">
        <v>1879</v>
      </c>
      <c r="Q13" s="1" t="s">
        <v>1840</v>
      </c>
      <c r="R13" s="1" t="s">
        <v>1821</v>
      </c>
      <c r="S13" s="1" t="s">
        <v>1816</v>
      </c>
      <c r="T13" s="1" t="s">
        <v>1883</v>
      </c>
      <c r="U13" s="1" t="s">
        <v>1820</v>
      </c>
      <c r="AA13">
        <v>4.0999999999999996</v>
      </c>
      <c r="AB13" t="s">
        <v>1832</v>
      </c>
    </row>
    <row r="14" spans="1:28" x14ac:dyDescent="0.2">
      <c r="A14" s="1" t="s">
        <v>62</v>
      </c>
      <c r="B14" s="1" t="s">
        <v>63</v>
      </c>
      <c r="C14" s="1" t="s">
        <v>64</v>
      </c>
      <c r="D14" s="1" t="s">
        <v>65</v>
      </c>
      <c r="E14" s="1" t="s">
        <v>66</v>
      </c>
      <c r="F14" s="13" t="s">
        <v>67</v>
      </c>
      <c r="G14" s="49" t="s">
        <v>890</v>
      </c>
      <c r="H14" s="25" t="s">
        <v>1898</v>
      </c>
      <c r="I14" s="26">
        <v>0</v>
      </c>
      <c r="J14" s="28">
        <v>0</v>
      </c>
      <c r="K14" s="33">
        <v>0.09</v>
      </c>
      <c r="L14" s="20" t="str">
        <f>VLOOKUP(I14,'HSL categorization'!$A$2:$B$49,2,1)</f>
        <v>Red</v>
      </c>
      <c r="M14" s="20"/>
      <c r="N14" s="20" t="str">
        <f>VLOOKUP(VALUE(K14),'HSL categorization'!D:E,2,TRUE)</f>
        <v>Dark</v>
      </c>
      <c r="O14" s="20"/>
      <c r="P14" s="1" t="s">
        <v>1879</v>
      </c>
      <c r="Q14" s="1" t="s">
        <v>1840</v>
      </c>
      <c r="R14" s="1" t="s">
        <v>1821</v>
      </c>
      <c r="S14" s="1" t="s">
        <v>1842</v>
      </c>
      <c r="T14" s="1" t="s">
        <v>1834</v>
      </c>
      <c r="U14" s="1" t="s">
        <v>1841</v>
      </c>
      <c r="AA14">
        <v>5</v>
      </c>
      <c r="AB14" t="s">
        <v>1843</v>
      </c>
    </row>
    <row r="15" spans="1:28" x14ac:dyDescent="0.2">
      <c r="A15" s="1" t="s">
        <v>68</v>
      </c>
      <c r="B15" s="1" t="s">
        <v>69</v>
      </c>
      <c r="C15" s="1" t="s">
        <v>70</v>
      </c>
      <c r="D15" s="1" t="s">
        <v>71</v>
      </c>
      <c r="E15" s="1" t="s">
        <v>72</v>
      </c>
      <c r="F15" s="13" t="s">
        <v>73</v>
      </c>
      <c r="G15" s="50" t="s">
        <v>896</v>
      </c>
      <c r="H15" s="25" t="s">
        <v>1899</v>
      </c>
      <c r="I15" s="26">
        <v>15</v>
      </c>
      <c r="J15" s="27" t="s">
        <v>2098</v>
      </c>
      <c r="K15" s="33">
        <v>0.192</v>
      </c>
      <c r="L15" s="20" t="str">
        <f>VLOOKUP(I15,'HSL categorization'!$A$2:$B$49,2,1)</f>
        <v>Vermilion</v>
      </c>
      <c r="M15" s="20"/>
      <c r="N15" s="20" t="str">
        <f>VLOOKUP(VALUE(K15),'HSL categorization'!D:E,2,TRUE)</f>
        <v>Dark</v>
      </c>
      <c r="O15" s="20"/>
      <c r="P15" s="1" t="s">
        <v>1879</v>
      </c>
      <c r="Q15" s="1" t="s">
        <v>1845</v>
      </c>
      <c r="R15" s="1" t="s">
        <v>1821</v>
      </c>
      <c r="S15" s="1" t="s">
        <v>1842</v>
      </c>
      <c r="T15" s="1" t="s">
        <v>1834</v>
      </c>
      <c r="X15" t="s">
        <v>1152</v>
      </c>
      <c r="Y15" t="s">
        <v>1823</v>
      </c>
      <c r="AA15">
        <v>4.5</v>
      </c>
      <c r="AB15" t="s">
        <v>1844</v>
      </c>
    </row>
    <row r="16" spans="1:28" x14ac:dyDescent="0.2">
      <c r="A16" s="1" t="s">
        <v>74</v>
      </c>
      <c r="B16" s="1" t="s">
        <v>75</v>
      </c>
      <c r="C16" s="1" t="s">
        <v>76</v>
      </c>
      <c r="D16" s="1" t="s">
        <v>77</v>
      </c>
      <c r="E16" s="1" t="s">
        <v>78</v>
      </c>
      <c r="F16" s="13" t="s">
        <v>79</v>
      </c>
      <c r="G16" s="47" t="s">
        <v>889</v>
      </c>
      <c r="H16" s="25" t="s">
        <v>1896</v>
      </c>
      <c r="I16" s="26">
        <v>0</v>
      </c>
      <c r="J16" s="28">
        <v>0</v>
      </c>
      <c r="K16" s="33">
        <v>0</v>
      </c>
      <c r="L16" s="20" t="str">
        <f>VLOOKUP(I16,'HSL categorization'!$A$2:$B$49,2,1)</f>
        <v>Red</v>
      </c>
      <c r="M16" s="20"/>
      <c r="N16" s="20" t="str">
        <f>VLOOKUP(VALUE(K16),'HSL categorization'!D:E,2,TRUE)</f>
        <v>Dark</v>
      </c>
      <c r="O16" s="20"/>
      <c r="P16" s="1" t="s">
        <v>1879</v>
      </c>
      <c r="Q16" s="1" t="s">
        <v>1840</v>
      </c>
      <c r="R16" s="1" t="s">
        <v>1821</v>
      </c>
      <c r="S16" s="1" t="s">
        <v>1816</v>
      </c>
      <c r="T16" s="1" t="s">
        <v>1882</v>
      </c>
      <c r="AA16" t="s">
        <v>1842</v>
      </c>
      <c r="AB16" t="s">
        <v>1846</v>
      </c>
    </row>
    <row r="17" spans="1:28" x14ac:dyDescent="0.2">
      <c r="A17" s="1" t="s">
        <v>80</v>
      </c>
      <c r="B17" s="1" t="s">
        <v>81</v>
      </c>
      <c r="C17" s="1" t="s">
        <v>8</v>
      </c>
      <c r="D17" s="1" t="s">
        <v>9</v>
      </c>
      <c r="E17" s="1" t="s">
        <v>82</v>
      </c>
      <c r="F17" s="13" t="s">
        <v>83</v>
      </c>
      <c r="G17" s="51" t="s">
        <v>880</v>
      </c>
      <c r="H17" s="25" t="s">
        <v>1900</v>
      </c>
      <c r="I17" s="26">
        <v>359</v>
      </c>
      <c r="J17" s="27" t="s">
        <v>2099</v>
      </c>
      <c r="K17" s="33">
        <v>0.67800000000000005</v>
      </c>
      <c r="L17" s="20" t="str">
        <f>VLOOKUP(I17,'HSL categorization'!$A$2:$B$49,2,1)</f>
        <v>Amaranth</v>
      </c>
      <c r="M17" s="20"/>
      <c r="N17" s="20" t="str">
        <f>VLOOKUP(VALUE(K17),'HSL categorization'!D:E,2,TRUE)</f>
        <v>Medium</v>
      </c>
      <c r="O17" s="20"/>
      <c r="P17" s="1" t="s">
        <v>1877</v>
      </c>
      <c r="Q17" s="1" t="s">
        <v>1826</v>
      </c>
      <c r="R17" s="1" t="s">
        <v>1821</v>
      </c>
      <c r="S17" s="1" t="s">
        <v>1816</v>
      </c>
      <c r="T17" s="1" t="s">
        <v>1818</v>
      </c>
      <c r="U17" s="1" t="s">
        <v>1820</v>
      </c>
      <c r="Y17" s="4" t="s">
        <v>1851</v>
      </c>
      <c r="AA17">
        <v>4.4000000000000004</v>
      </c>
      <c r="AB17" t="s">
        <v>1828</v>
      </c>
    </row>
    <row r="18" spans="1:28" x14ac:dyDescent="0.2">
      <c r="A18" s="1" t="s">
        <v>84</v>
      </c>
      <c r="B18" s="1" t="s">
        <v>85</v>
      </c>
      <c r="C18" s="1" t="s">
        <v>8</v>
      </c>
      <c r="D18" s="1" t="s">
        <v>9</v>
      </c>
      <c r="E18" s="1" t="s">
        <v>86</v>
      </c>
      <c r="F18" s="13" t="s">
        <v>87</v>
      </c>
      <c r="G18" s="52" t="s">
        <v>881</v>
      </c>
      <c r="H18" s="25" t="s">
        <v>1901</v>
      </c>
      <c r="I18" s="26">
        <v>329</v>
      </c>
      <c r="J18" s="27" t="s">
        <v>2100</v>
      </c>
      <c r="K18" s="33">
        <v>0.747</v>
      </c>
      <c r="L18" s="20" t="str">
        <f>VLOOKUP(I18,'HSL categorization'!$A$2:$B$49,2,1)</f>
        <v>Cerise</v>
      </c>
      <c r="M18" s="20"/>
      <c r="N18" s="20" t="str">
        <f>VLOOKUP(VALUE(K18),'HSL categorization'!D:E,2,TRUE)</f>
        <v>Light</v>
      </c>
      <c r="O18" s="20"/>
      <c r="P18" s="1" t="s">
        <v>1877</v>
      </c>
      <c r="Q18" s="1" t="s">
        <v>1826</v>
      </c>
      <c r="R18" s="1" t="s">
        <v>1821</v>
      </c>
      <c r="S18" s="1" t="s">
        <v>1816</v>
      </c>
      <c r="T18" s="1" t="s">
        <v>1818</v>
      </c>
      <c r="U18" s="1" t="s">
        <v>1820</v>
      </c>
      <c r="Y18" s="4" t="s">
        <v>1851</v>
      </c>
      <c r="AA18">
        <v>4.4000000000000004</v>
      </c>
      <c r="AB18" t="s">
        <v>1828</v>
      </c>
    </row>
    <row r="19" spans="1:28" x14ac:dyDescent="0.2">
      <c r="A19" s="1" t="s">
        <v>88</v>
      </c>
      <c r="B19" s="1" t="s">
        <v>89</v>
      </c>
      <c r="C19" s="1" t="s">
        <v>8</v>
      </c>
      <c r="D19" s="1" t="s">
        <v>9</v>
      </c>
      <c r="E19" s="1" t="s">
        <v>90</v>
      </c>
      <c r="F19" s="13" t="s">
        <v>91</v>
      </c>
      <c r="G19" s="53" t="s">
        <v>882</v>
      </c>
      <c r="H19" s="25" t="s">
        <v>1902</v>
      </c>
      <c r="I19" s="26">
        <v>350</v>
      </c>
      <c r="J19" s="27" t="s">
        <v>2101</v>
      </c>
      <c r="K19" s="33">
        <v>0.61399999999999999</v>
      </c>
      <c r="L19" s="20" t="str">
        <f>VLOOKUP(I19,'HSL categorization'!$A$2:$B$49,2,1)</f>
        <v>Crimson</v>
      </c>
      <c r="M19" s="20"/>
      <c r="N19" s="20" t="str">
        <f>VLOOKUP(VALUE(K19),'HSL categorization'!D:E,2,TRUE)</f>
        <v>Medium</v>
      </c>
      <c r="O19" s="20"/>
      <c r="P19" s="1" t="s">
        <v>1877</v>
      </c>
      <c r="Q19" s="1" t="s">
        <v>1826</v>
      </c>
      <c r="R19" s="1" t="s">
        <v>1821</v>
      </c>
      <c r="S19" s="1" t="s">
        <v>1816</v>
      </c>
      <c r="T19" s="1" t="s">
        <v>1818</v>
      </c>
      <c r="U19" s="1" t="s">
        <v>1820</v>
      </c>
      <c r="Y19" s="4" t="s">
        <v>1851</v>
      </c>
      <c r="AA19">
        <v>4.4000000000000004</v>
      </c>
      <c r="AB19" t="s">
        <v>1828</v>
      </c>
    </row>
    <row r="20" spans="1:28" x14ac:dyDescent="0.2">
      <c r="A20" s="1" t="s">
        <v>92</v>
      </c>
      <c r="B20" s="1" t="s">
        <v>93</v>
      </c>
      <c r="C20" s="1" t="s">
        <v>8</v>
      </c>
      <c r="D20" s="1" t="s">
        <v>9</v>
      </c>
      <c r="E20" s="1" t="s">
        <v>94</v>
      </c>
      <c r="F20" s="13" t="s">
        <v>95</v>
      </c>
      <c r="G20" s="54" t="s">
        <v>883</v>
      </c>
      <c r="H20" s="25" t="s">
        <v>1903</v>
      </c>
      <c r="I20" s="26">
        <v>279</v>
      </c>
      <c r="J20" s="27" t="s">
        <v>2102</v>
      </c>
      <c r="K20" s="33">
        <v>0.81599999999999995</v>
      </c>
      <c r="L20" s="20" t="str">
        <f>VLOOKUP(I20,'HSL categorization'!$A$2:$B$49,2,1)</f>
        <v>Purple</v>
      </c>
      <c r="M20" s="20"/>
      <c r="N20" s="20" t="str">
        <f>VLOOKUP(VALUE(K20),'HSL categorization'!D:E,2,TRUE)</f>
        <v>Light</v>
      </c>
      <c r="O20" s="20"/>
      <c r="P20" s="1" t="s">
        <v>1877</v>
      </c>
      <c r="Q20" s="1" t="s">
        <v>1826</v>
      </c>
      <c r="R20" s="1" t="s">
        <v>1821</v>
      </c>
      <c r="S20" s="1" t="s">
        <v>1816</v>
      </c>
      <c r="T20" s="1" t="s">
        <v>1818</v>
      </c>
      <c r="U20" s="1" t="s">
        <v>1820</v>
      </c>
      <c r="Y20" s="4" t="s">
        <v>1851</v>
      </c>
      <c r="AA20">
        <v>4.4000000000000004</v>
      </c>
      <c r="AB20" t="s">
        <v>1828</v>
      </c>
    </row>
    <row r="21" spans="1:28" x14ac:dyDescent="0.2">
      <c r="A21" s="1" t="s">
        <v>96</v>
      </c>
      <c r="B21" s="1" t="s">
        <v>97</v>
      </c>
      <c r="C21" s="1" t="s">
        <v>8</v>
      </c>
      <c r="D21" s="1" t="s">
        <v>9</v>
      </c>
      <c r="E21" s="1" t="s">
        <v>98</v>
      </c>
      <c r="F21" s="13" t="s">
        <v>99</v>
      </c>
      <c r="G21" s="55" t="s">
        <v>884</v>
      </c>
      <c r="H21" s="25" t="s">
        <v>1904</v>
      </c>
      <c r="I21" s="26">
        <v>302</v>
      </c>
      <c r="J21" s="27" t="s">
        <v>2103</v>
      </c>
      <c r="K21" s="33">
        <v>0.64500000000000002</v>
      </c>
      <c r="L21" s="20" t="str">
        <f>VLOOKUP(I21,'HSL categorization'!$A$2:$B$49,2,1)</f>
        <v>Magenta</v>
      </c>
      <c r="M21" s="20"/>
      <c r="N21" s="20" t="str">
        <f>VLOOKUP(VALUE(K21),'HSL categorization'!D:E,2,TRUE)</f>
        <v>Medium</v>
      </c>
      <c r="O21" s="20"/>
      <c r="P21" s="1" t="s">
        <v>1877</v>
      </c>
      <c r="Q21" s="1" t="s">
        <v>1826</v>
      </c>
      <c r="R21" s="1" t="s">
        <v>1821</v>
      </c>
      <c r="S21" s="1" t="s">
        <v>1816</v>
      </c>
      <c r="T21" s="1" t="s">
        <v>1818</v>
      </c>
      <c r="U21" s="1" t="s">
        <v>1820</v>
      </c>
      <c r="Y21" s="4" t="s">
        <v>1851</v>
      </c>
      <c r="AA21">
        <v>4.4000000000000004</v>
      </c>
      <c r="AB21" t="s">
        <v>1828</v>
      </c>
    </row>
    <row r="22" spans="1:28" x14ac:dyDescent="0.2">
      <c r="A22" s="1" t="s">
        <v>100</v>
      </c>
      <c r="B22" s="1" t="s">
        <v>101</v>
      </c>
      <c r="C22" s="1" t="s">
        <v>102</v>
      </c>
      <c r="D22" s="1" t="s">
        <v>103</v>
      </c>
      <c r="E22" s="1" t="s">
        <v>104</v>
      </c>
      <c r="F22" s="13" t="s">
        <v>105</v>
      </c>
      <c r="G22" s="47" t="s">
        <v>889</v>
      </c>
      <c r="H22" s="25" t="s">
        <v>1896</v>
      </c>
      <c r="I22" s="26">
        <v>0</v>
      </c>
      <c r="J22" s="28">
        <v>0</v>
      </c>
      <c r="K22" s="33">
        <v>0</v>
      </c>
      <c r="L22" s="20" t="str">
        <f>VLOOKUP(I22,'HSL categorization'!$A$2:$B$49,2,1)</f>
        <v>Red</v>
      </c>
      <c r="M22" s="20"/>
      <c r="N22" s="20" t="str">
        <f>VLOOKUP(VALUE(K22),'HSL categorization'!D:E,2,TRUE)</f>
        <v>Dark</v>
      </c>
      <c r="O22" s="20"/>
      <c r="P22" s="1" t="s">
        <v>1879</v>
      </c>
      <c r="Q22" s="1" t="s">
        <v>1840</v>
      </c>
      <c r="R22" s="1" t="s">
        <v>1821</v>
      </c>
      <c r="S22" s="1" t="s">
        <v>1847</v>
      </c>
      <c r="T22" s="1" t="s">
        <v>1882</v>
      </c>
      <c r="AA22">
        <v>4.4000000000000004</v>
      </c>
      <c r="AB22" t="s">
        <v>1832</v>
      </c>
    </row>
    <row r="23" spans="1:28" x14ac:dyDescent="0.2">
      <c r="A23" s="1" t="s">
        <v>106</v>
      </c>
      <c r="B23" s="1" t="s">
        <v>107</v>
      </c>
      <c r="C23" s="1" t="s">
        <v>48</v>
      </c>
      <c r="D23" s="1" t="s">
        <v>49</v>
      </c>
      <c r="E23" s="1" t="s">
        <v>108</v>
      </c>
      <c r="F23" s="13" t="s">
        <v>109</v>
      </c>
      <c r="G23" s="56" t="s">
        <v>1008</v>
      </c>
      <c r="H23" s="25" t="s">
        <v>1905</v>
      </c>
      <c r="I23" s="26">
        <v>9</v>
      </c>
      <c r="J23" s="27" t="s">
        <v>2103</v>
      </c>
      <c r="K23" s="33">
        <v>0.67300000000000004</v>
      </c>
      <c r="L23" s="20" t="str">
        <f>VLOOKUP(I23,'HSL categorization'!$A$2:$B$49,2,1)</f>
        <v>Scarlet</v>
      </c>
      <c r="M23" s="20"/>
      <c r="N23" s="20" t="str">
        <f>VLOOKUP(VALUE(K23),'HSL categorization'!D:E,2,TRUE)</f>
        <v>Medium</v>
      </c>
      <c r="O23" s="20"/>
      <c r="P23" s="1" t="s">
        <v>1878</v>
      </c>
      <c r="Q23" s="1" t="s">
        <v>1835</v>
      </c>
      <c r="R23" s="1" t="s">
        <v>1821</v>
      </c>
      <c r="S23" s="1" t="s">
        <v>1823</v>
      </c>
      <c r="T23" s="1" t="s">
        <v>1834</v>
      </c>
      <c r="U23" s="4" t="s">
        <v>1831</v>
      </c>
      <c r="V23" s="1" t="s">
        <v>1839</v>
      </c>
      <c r="X23" s="1" t="s">
        <v>1859</v>
      </c>
      <c r="AA23">
        <v>4.5999999999999996</v>
      </c>
      <c r="AB23" t="s">
        <v>1833</v>
      </c>
    </row>
    <row r="24" spans="1:28" x14ac:dyDescent="0.2">
      <c r="A24" s="1" t="s">
        <v>110</v>
      </c>
      <c r="B24" s="1" t="s">
        <v>111</v>
      </c>
      <c r="C24" s="1" t="s">
        <v>112</v>
      </c>
      <c r="D24" s="1" t="s">
        <v>113</v>
      </c>
      <c r="E24" s="1" t="s">
        <v>114</v>
      </c>
      <c r="F24" s="13" t="s">
        <v>115</v>
      </c>
      <c r="G24" s="57" t="s">
        <v>920</v>
      </c>
      <c r="H24" s="25" t="s">
        <v>1906</v>
      </c>
      <c r="I24" s="26">
        <v>355</v>
      </c>
      <c r="J24" s="27" t="s">
        <v>2093</v>
      </c>
      <c r="K24" s="33">
        <v>0.64700000000000002</v>
      </c>
      <c r="L24" s="20" t="str">
        <f>VLOOKUP(I24,'HSL categorization'!$A$2:$B$49,2,1)</f>
        <v>Amaranth</v>
      </c>
      <c r="M24" s="20"/>
      <c r="N24" s="20" t="str">
        <f>VLOOKUP(VALUE(K24),'HSL categorization'!D:E,2,TRUE)</f>
        <v>Medium</v>
      </c>
      <c r="O24" s="20"/>
      <c r="P24" s="1" t="s">
        <v>1878</v>
      </c>
      <c r="Q24" s="1" t="s">
        <v>1848</v>
      </c>
      <c r="R24" s="1" t="s">
        <v>1821</v>
      </c>
      <c r="S24" s="1" t="s">
        <v>1816</v>
      </c>
      <c r="T24" s="1" t="s">
        <v>1830</v>
      </c>
      <c r="X24" t="s">
        <v>1852</v>
      </c>
      <c r="AA24">
        <v>5</v>
      </c>
      <c r="AB24" t="s">
        <v>1849</v>
      </c>
    </row>
    <row r="25" spans="1:28" x14ac:dyDescent="0.2">
      <c r="A25" s="1" t="s">
        <v>116</v>
      </c>
      <c r="B25" s="1" t="s">
        <v>117</v>
      </c>
      <c r="C25" s="1" t="s">
        <v>118</v>
      </c>
      <c r="D25" s="1" t="s">
        <v>119</v>
      </c>
      <c r="E25" s="1" t="s">
        <v>120</v>
      </c>
      <c r="F25" s="13" t="s">
        <v>121</v>
      </c>
      <c r="G25" s="58" t="s">
        <v>906</v>
      </c>
      <c r="H25" s="25" t="s">
        <v>1907</v>
      </c>
      <c r="I25" s="26">
        <v>19</v>
      </c>
      <c r="J25" s="27" t="s">
        <v>2104</v>
      </c>
      <c r="K25" s="33">
        <v>0.83699999999999997</v>
      </c>
      <c r="L25" s="20" t="str">
        <f>VLOOKUP(I25,'HSL categorization'!$A$2:$B$49,2,1)</f>
        <v>Vermilion</v>
      </c>
      <c r="M25" s="20"/>
      <c r="N25" s="20" t="str">
        <f>VLOOKUP(VALUE(K25),'HSL categorization'!D:E,2,TRUE)</f>
        <v>Light</v>
      </c>
      <c r="O25" s="20"/>
      <c r="P25" s="1" t="s">
        <v>1878</v>
      </c>
      <c r="Q25" s="1" t="s">
        <v>1835</v>
      </c>
      <c r="R25" s="1" t="s">
        <v>1821</v>
      </c>
      <c r="S25" s="1" t="s">
        <v>1816</v>
      </c>
      <c r="T25" s="1" t="s">
        <v>1834</v>
      </c>
      <c r="U25" s="4" t="s">
        <v>1831</v>
      </c>
      <c r="X25" t="s">
        <v>1152</v>
      </c>
      <c r="AA25">
        <v>5</v>
      </c>
      <c r="AB25" t="s">
        <v>1849</v>
      </c>
    </row>
    <row r="26" spans="1:28" x14ac:dyDescent="0.2">
      <c r="A26" s="1" t="s">
        <v>122</v>
      </c>
      <c r="B26" s="1" t="s">
        <v>123</v>
      </c>
      <c r="C26" s="1" t="s">
        <v>118</v>
      </c>
      <c r="D26" s="1" t="s">
        <v>119</v>
      </c>
      <c r="E26" s="1" t="s">
        <v>124</v>
      </c>
      <c r="F26" s="13" t="s">
        <v>125</v>
      </c>
      <c r="G26" s="59" t="s">
        <v>907</v>
      </c>
      <c r="H26" s="25" t="s">
        <v>1908</v>
      </c>
      <c r="I26" s="26">
        <v>1</v>
      </c>
      <c r="J26" s="27" t="s">
        <v>2105</v>
      </c>
      <c r="K26" s="33">
        <v>0.63100000000000001</v>
      </c>
      <c r="L26" s="20" t="str">
        <f>VLOOKUP(I26,'HSL categorization'!$A$2:$B$49,2,1)</f>
        <v>Red</v>
      </c>
      <c r="M26" s="20"/>
      <c r="N26" s="20" t="str">
        <f>VLOOKUP(VALUE(K26),'HSL categorization'!D:E,2,TRUE)</f>
        <v>Medium</v>
      </c>
      <c r="O26" s="20"/>
      <c r="P26" s="1" t="s">
        <v>1878</v>
      </c>
      <c r="Q26" s="1" t="s">
        <v>1835</v>
      </c>
      <c r="R26" s="1" t="s">
        <v>1821</v>
      </c>
      <c r="S26" s="1" t="s">
        <v>1816</v>
      </c>
      <c r="T26" s="1" t="s">
        <v>1834</v>
      </c>
      <c r="U26" s="4" t="s">
        <v>1831</v>
      </c>
      <c r="X26" t="s">
        <v>1152</v>
      </c>
      <c r="AA26">
        <v>5</v>
      </c>
      <c r="AB26" t="s">
        <v>1849</v>
      </c>
    </row>
    <row r="27" spans="1:28" x14ac:dyDescent="0.2">
      <c r="A27" s="1" t="s">
        <v>126</v>
      </c>
      <c r="B27" s="1" t="s">
        <v>127</v>
      </c>
      <c r="C27" s="1" t="s">
        <v>118</v>
      </c>
      <c r="D27" s="1" t="s">
        <v>119</v>
      </c>
      <c r="E27" s="1" t="s">
        <v>128</v>
      </c>
      <c r="F27" s="13" t="s">
        <v>129</v>
      </c>
      <c r="G27" s="60" t="s">
        <v>908</v>
      </c>
      <c r="H27" s="25" t="s">
        <v>1909</v>
      </c>
      <c r="I27" s="26">
        <v>15</v>
      </c>
      <c r="J27" s="27" t="s">
        <v>2106</v>
      </c>
      <c r="K27" s="33">
        <v>0.6</v>
      </c>
      <c r="L27" s="20" t="str">
        <f>VLOOKUP(I27,'HSL categorization'!$A$2:$B$49,2,1)</f>
        <v>Vermilion</v>
      </c>
      <c r="M27" s="20"/>
      <c r="N27" s="20" t="str">
        <f>VLOOKUP(VALUE(K27),'HSL categorization'!D:E,2,TRUE)</f>
        <v>Medium</v>
      </c>
      <c r="O27" s="20"/>
      <c r="P27" s="1" t="s">
        <v>1878</v>
      </c>
      <c r="Q27" s="1" t="s">
        <v>1835</v>
      </c>
      <c r="R27" s="1" t="s">
        <v>1821</v>
      </c>
      <c r="S27" s="1" t="s">
        <v>1816</v>
      </c>
      <c r="T27" s="1" t="s">
        <v>1834</v>
      </c>
      <c r="U27" s="4" t="s">
        <v>1831</v>
      </c>
      <c r="X27" t="s">
        <v>1152</v>
      </c>
      <c r="AA27">
        <v>5</v>
      </c>
      <c r="AB27" t="s">
        <v>1853</v>
      </c>
    </row>
    <row r="28" spans="1:28" x14ac:dyDescent="0.2">
      <c r="A28" s="1" t="s">
        <v>130</v>
      </c>
      <c r="B28" s="1" t="s">
        <v>131</v>
      </c>
      <c r="C28" s="1" t="s">
        <v>118</v>
      </c>
      <c r="D28" s="1" t="s">
        <v>119</v>
      </c>
      <c r="E28" s="1" t="s">
        <v>132</v>
      </c>
      <c r="F28" s="13" t="s">
        <v>133</v>
      </c>
      <c r="G28" s="61" t="s">
        <v>909</v>
      </c>
      <c r="H28" s="25" t="s">
        <v>1910</v>
      </c>
      <c r="I28" s="26">
        <v>356</v>
      </c>
      <c r="J28" s="27" t="s">
        <v>2107</v>
      </c>
      <c r="K28" s="33">
        <v>0.49199999999999999</v>
      </c>
      <c r="L28" s="20" t="str">
        <f>VLOOKUP(I28,'HSL categorization'!$A$2:$B$49,2,1)</f>
        <v>Amaranth</v>
      </c>
      <c r="M28" s="20"/>
      <c r="N28" s="20" t="str">
        <f>VLOOKUP(VALUE(K28),'HSL categorization'!D:E,2,TRUE)</f>
        <v>Medium</v>
      </c>
      <c r="O28" s="20"/>
      <c r="P28" s="1" t="s">
        <v>1878</v>
      </c>
      <c r="Q28" s="1" t="s">
        <v>1835</v>
      </c>
      <c r="R28" s="1" t="s">
        <v>1821</v>
      </c>
      <c r="S28" s="1" t="s">
        <v>1816</v>
      </c>
      <c r="T28" s="1" t="s">
        <v>1834</v>
      </c>
      <c r="U28" s="4" t="s">
        <v>1831</v>
      </c>
      <c r="X28" t="s">
        <v>1152</v>
      </c>
      <c r="AA28">
        <v>5</v>
      </c>
      <c r="AB28" t="s">
        <v>1853</v>
      </c>
    </row>
    <row r="29" spans="1:28" x14ac:dyDescent="0.2">
      <c r="A29" s="1" t="s">
        <v>134</v>
      </c>
      <c r="B29" s="1" t="s">
        <v>135</v>
      </c>
      <c r="C29" s="1" t="s">
        <v>118</v>
      </c>
      <c r="D29" s="1" t="s">
        <v>119</v>
      </c>
      <c r="E29" s="1" t="s">
        <v>136</v>
      </c>
      <c r="F29" s="13" t="s">
        <v>137</v>
      </c>
      <c r="G29" s="62" t="s">
        <v>910</v>
      </c>
      <c r="H29" s="25" t="s">
        <v>1911</v>
      </c>
      <c r="I29" s="26">
        <v>346</v>
      </c>
      <c r="J29" s="27" t="s">
        <v>2108</v>
      </c>
      <c r="K29" s="33">
        <v>0.51200000000000001</v>
      </c>
      <c r="L29" s="20" t="str">
        <f>VLOOKUP(I29,'HSL categorization'!$A$2:$B$49,2,1)</f>
        <v>Crimson</v>
      </c>
      <c r="M29" s="20"/>
      <c r="N29" s="20" t="str">
        <f>VLOOKUP(VALUE(K29),'HSL categorization'!D:E,2,TRUE)</f>
        <v>Medium</v>
      </c>
      <c r="O29" s="20"/>
      <c r="P29" s="1" t="s">
        <v>1878</v>
      </c>
      <c r="Q29" s="1" t="s">
        <v>1835</v>
      </c>
      <c r="R29" s="1" t="s">
        <v>1821</v>
      </c>
      <c r="S29" s="1" t="s">
        <v>1816</v>
      </c>
      <c r="T29" s="1" t="s">
        <v>1834</v>
      </c>
      <c r="U29" s="4" t="s">
        <v>1831</v>
      </c>
      <c r="X29" t="s">
        <v>1152</v>
      </c>
      <c r="AA29">
        <v>5</v>
      </c>
      <c r="AB29" t="s">
        <v>1853</v>
      </c>
    </row>
    <row r="30" spans="1:28" x14ac:dyDescent="0.2">
      <c r="A30" s="1" t="s">
        <v>138</v>
      </c>
      <c r="B30" s="1" t="s">
        <v>139</v>
      </c>
      <c r="C30" s="1" t="s">
        <v>118</v>
      </c>
      <c r="D30" s="1" t="s">
        <v>119</v>
      </c>
      <c r="E30" s="1" t="s">
        <v>140</v>
      </c>
      <c r="F30" s="13" t="s">
        <v>141</v>
      </c>
      <c r="G30" s="63" t="s">
        <v>911</v>
      </c>
      <c r="H30" s="25" t="s">
        <v>1912</v>
      </c>
      <c r="I30" s="26">
        <v>5</v>
      </c>
      <c r="J30" s="27" t="s">
        <v>2109</v>
      </c>
      <c r="K30" s="33">
        <v>0.64500000000000002</v>
      </c>
      <c r="L30" s="20" t="str">
        <f>VLOOKUP(I30,'HSL categorization'!$A$2:$B$49,2,1)</f>
        <v>Red</v>
      </c>
      <c r="M30" s="20"/>
      <c r="N30" s="20" t="str">
        <f>VLOOKUP(VALUE(K30),'HSL categorization'!D:E,2,TRUE)</f>
        <v>Medium</v>
      </c>
      <c r="O30" s="20"/>
      <c r="P30" s="1" t="s">
        <v>1878</v>
      </c>
      <c r="Q30" s="1" t="s">
        <v>1835</v>
      </c>
      <c r="R30" s="1" t="s">
        <v>1821</v>
      </c>
      <c r="S30" s="1" t="s">
        <v>1816</v>
      </c>
      <c r="T30" s="1" t="s">
        <v>1834</v>
      </c>
      <c r="U30" s="4" t="s">
        <v>1831</v>
      </c>
      <c r="X30" t="s">
        <v>1152</v>
      </c>
      <c r="AA30">
        <v>5</v>
      </c>
      <c r="AB30" t="s">
        <v>1853</v>
      </c>
    </row>
    <row r="31" spans="1:28" x14ac:dyDescent="0.2">
      <c r="A31" s="1" t="s">
        <v>142</v>
      </c>
      <c r="B31" s="1" t="s">
        <v>143</v>
      </c>
      <c r="C31" s="1" t="s">
        <v>118</v>
      </c>
      <c r="D31" s="1" t="s">
        <v>119</v>
      </c>
      <c r="E31" s="1" t="s">
        <v>144</v>
      </c>
      <c r="F31" s="13" t="s">
        <v>145</v>
      </c>
      <c r="G31" s="64" t="s">
        <v>912</v>
      </c>
      <c r="H31" s="25" t="s">
        <v>1913</v>
      </c>
      <c r="I31" s="26">
        <v>344</v>
      </c>
      <c r="J31" s="27" t="s">
        <v>2110</v>
      </c>
      <c r="K31" s="33">
        <v>0.47299999999999998</v>
      </c>
      <c r="L31" s="20" t="str">
        <f>VLOOKUP(I31,'HSL categorization'!$A$2:$B$49,2,1)</f>
        <v>Raspberry</v>
      </c>
      <c r="M31" s="20"/>
      <c r="N31" s="20" t="str">
        <f>VLOOKUP(VALUE(K31),'HSL categorization'!D:E,2,TRUE)</f>
        <v>Medium</v>
      </c>
      <c r="O31" s="20"/>
      <c r="P31" s="1" t="s">
        <v>1878</v>
      </c>
      <c r="Q31" s="1" t="s">
        <v>1835</v>
      </c>
      <c r="R31" s="1" t="s">
        <v>1821</v>
      </c>
      <c r="S31" s="1" t="s">
        <v>1816</v>
      </c>
      <c r="T31" s="1" t="s">
        <v>1834</v>
      </c>
      <c r="U31" s="4" t="s">
        <v>1831</v>
      </c>
      <c r="X31" t="s">
        <v>1152</v>
      </c>
      <c r="AA31">
        <v>5</v>
      </c>
      <c r="AB31" t="s">
        <v>1853</v>
      </c>
    </row>
    <row r="32" spans="1:28" x14ac:dyDescent="0.2">
      <c r="A32" s="1" t="s">
        <v>146</v>
      </c>
      <c r="B32" s="1" t="s">
        <v>147</v>
      </c>
      <c r="C32" s="1" t="s">
        <v>118</v>
      </c>
      <c r="D32" s="1" t="s">
        <v>119</v>
      </c>
      <c r="E32" s="1" t="s">
        <v>148</v>
      </c>
      <c r="F32" s="13" t="s">
        <v>149</v>
      </c>
      <c r="G32" s="65" t="s">
        <v>913</v>
      </c>
      <c r="H32" s="25" t="s">
        <v>1914</v>
      </c>
      <c r="I32" s="26">
        <v>12</v>
      </c>
      <c r="J32" s="27" t="s">
        <v>2111</v>
      </c>
      <c r="K32" s="33">
        <v>0.40799999999999997</v>
      </c>
      <c r="L32" s="20" t="str">
        <f>VLOOKUP(I32,'HSL categorization'!$A$2:$B$49,2,1)</f>
        <v>Scarlet</v>
      </c>
      <c r="M32" s="20"/>
      <c r="N32" s="20" t="str">
        <f>VLOOKUP(VALUE(K32),'HSL categorization'!D:E,2,TRUE)</f>
        <v>Medium</v>
      </c>
      <c r="O32" s="20"/>
      <c r="P32" s="1" t="s">
        <v>1878</v>
      </c>
      <c r="Q32" s="1" t="s">
        <v>1835</v>
      </c>
      <c r="R32" s="1" t="s">
        <v>1821</v>
      </c>
      <c r="S32" s="1" t="s">
        <v>1816</v>
      </c>
      <c r="T32" s="1" t="s">
        <v>1834</v>
      </c>
      <c r="U32" s="4" t="s">
        <v>1831</v>
      </c>
      <c r="X32" t="s">
        <v>1152</v>
      </c>
      <c r="AA32">
        <v>5</v>
      </c>
      <c r="AB32" t="s">
        <v>1853</v>
      </c>
    </row>
    <row r="33" spans="1:28" x14ac:dyDescent="0.2">
      <c r="A33" s="1" t="s">
        <v>150</v>
      </c>
      <c r="B33" s="1" t="s">
        <v>151</v>
      </c>
      <c r="C33" s="1" t="s">
        <v>118</v>
      </c>
      <c r="D33" s="1" t="s">
        <v>119</v>
      </c>
      <c r="E33" s="1" t="s">
        <v>152</v>
      </c>
      <c r="F33" s="13" t="s">
        <v>153</v>
      </c>
      <c r="G33" s="66" t="s">
        <v>914</v>
      </c>
      <c r="H33" s="25" t="s">
        <v>1915</v>
      </c>
      <c r="I33" s="26">
        <v>348</v>
      </c>
      <c r="J33" s="27" t="s">
        <v>2112</v>
      </c>
      <c r="K33" s="33">
        <v>0.35899999999999999</v>
      </c>
      <c r="L33" s="20" t="str">
        <f>VLOOKUP(I33,'HSL categorization'!$A$2:$B$49,2,1)</f>
        <v>Crimson</v>
      </c>
      <c r="M33" s="20"/>
      <c r="N33" s="20" t="str">
        <f>VLOOKUP(VALUE(K33),'HSL categorization'!D:E,2,TRUE)</f>
        <v>Dark</v>
      </c>
      <c r="O33" s="20"/>
      <c r="P33" s="1" t="s">
        <v>1878</v>
      </c>
      <c r="Q33" s="1" t="s">
        <v>1835</v>
      </c>
      <c r="R33" s="1" t="s">
        <v>1821</v>
      </c>
      <c r="S33" s="1" t="s">
        <v>1816</v>
      </c>
      <c r="T33" s="1" t="s">
        <v>1834</v>
      </c>
      <c r="U33" s="4" t="s">
        <v>1831</v>
      </c>
      <c r="X33" t="s">
        <v>1152</v>
      </c>
      <c r="AA33">
        <v>5</v>
      </c>
      <c r="AB33" t="s">
        <v>1853</v>
      </c>
    </row>
    <row r="34" spans="1:28" x14ac:dyDescent="0.2">
      <c r="A34" s="1" t="s">
        <v>154</v>
      </c>
      <c r="B34" s="1" t="s">
        <v>155</v>
      </c>
      <c r="C34" s="1" t="s">
        <v>118</v>
      </c>
      <c r="D34" s="1" t="s">
        <v>119</v>
      </c>
      <c r="E34" s="1" t="s">
        <v>156</v>
      </c>
      <c r="F34" s="13" t="s">
        <v>157</v>
      </c>
      <c r="G34" s="67" t="s">
        <v>915</v>
      </c>
      <c r="H34" s="25" t="s">
        <v>1916</v>
      </c>
      <c r="I34" s="26">
        <v>358</v>
      </c>
      <c r="J34" s="27" t="s">
        <v>2113</v>
      </c>
      <c r="K34" s="33">
        <v>0.40600000000000003</v>
      </c>
      <c r="L34" s="20" t="str">
        <f>VLOOKUP(I34,'HSL categorization'!$A$2:$B$49,2,1)</f>
        <v>Amaranth</v>
      </c>
      <c r="M34" s="20"/>
      <c r="N34" s="20" t="str">
        <f>VLOOKUP(VALUE(K34),'HSL categorization'!D:E,2,TRUE)</f>
        <v>Medium</v>
      </c>
      <c r="O34" s="20"/>
      <c r="P34" s="1" t="s">
        <v>1878</v>
      </c>
      <c r="Q34" s="1" t="s">
        <v>1835</v>
      </c>
      <c r="R34" s="1" t="s">
        <v>1821</v>
      </c>
      <c r="S34" s="1" t="s">
        <v>1816</v>
      </c>
      <c r="T34" s="1" t="s">
        <v>1834</v>
      </c>
      <c r="U34" s="4" t="s">
        <v>1831</v>
      </c>
      <c r="X34" t="s">
        <v>1152</v>
      </c>
      <c r="AA34">
        <v>5</v>
      </c>
      <c r="AB34" t="s">
        <v>1853</v>
      </c>
    </row>
    <row r="35" spans="1:28" x14ac:dyDescent="0.2">
      <c r="A35" s="1" t="s">
        <v>158</v>
      </c>
      <c r="B35" s="1" t="s">
        <v>159</v>
      </c>
      <c r="C35" s="1" t="s">
        <v>118</v>
      </c>
      <c r="D35" s="1" t="s">
        <v>119</v>
      </c>
      <c r="E35" s="1" t="s">
        <v>160</v>
      </c>
      <c r="F35" s="13" t="s">
        <v>161</v>
      </c>
      <c r="G35" s="68" t="s">
        <v>916</v>
      </c>
      <c r="H35" s="25" t="s">
        <v>1917</v>
      </c>
      <c r="I35" s="26">
        <v>346</v>
      </c>
      <c r="J35" s="27" t="s">
        <v>2114</v>
      </c>
      <c r="K35" s="33">
        <v>0.48399999999999999</v>
      </c>
      <c r="L35" s="20" t="str">
        <f>VLOOKUP(I35,'HSL categorization'!$A$2:$B$49,2,1)</f>
        <v>Crimson</v>
      </c>
      <c r="M35" s="20"/>
      <c r="N35" s="20" t="str">
        <f>VLOOKUP(VALUE(K35),'HSL categorization'!D:E,2,TRUE)</f>
        <v>Medium</v>
      </c>
      <c r="O35" s="20"/>
      <c r="P35" s="1" t="s">
        <v>1878</v>
      </c>
      <c r="Q35" s="1" t="s">
        <v>1835</v>
      </c>
      <c r="R35" s="1" t="s">
        <v>1821</v>
      </c>
      <c r="S35" s="1" t="s">
        <v>1816</v>
      </c>
      <c r="T35" s="1" t="s">
        <v>1834</v>
      </c>
      <c r="U35" s="4" t="s">
        <v>1831</v>
      </c>
      <c r="X35" t="s">
        <v>1152</v>
      </c>
      <c r="AA35">
        <v>5</v>
      </c>
      <c r="AB35" t="s">
        <v>1853</v>
      </c>
    </row>
    <row r="36" spans="1:28" x14ac:dyDescent="0.2">
      <c r="A36" s="1" t="s">
        <v>162</v>
      </c>
      <c r="B36" s="1" t="s">
        <v>163</v>
      </c>
      <c r="C36" s="1" t="s">
        <v>118</v>
      </c>
      <c r="D36" s="1" t="s">
        <v>119</v>
      </c>
      <c r="E36" s="1" t="s">
        <v>164</v>
      </c>
      <c r="F36" s="13" t="s">
        <v>165</v>
      </c>
      <c r="G36" s="69" t="s">
        <v>917</v>
      </c>
      <c r="H36" s="25" t="s">
        <v>1918</v>
      </c>
      <c r="I36" s="26">
        <v>352</v>
      </c>
      <c r="J36" s="27" t="s">
        <v>2115</v>
      </c>
      <c r="K36" s="33">
        <v>0.72499999999999998</v>
      </c>
      <c r="L36" s="20" t="str">
        <f>VLOOKUP(I36,'HSL categorization'!$A$2:$B$49,2,1)</f>
        <v>Crimson</v>
      </c>
      <c r="M36" s="20"/>
      <c r="N36" s="20" t="str">
        <f>VLOOKUP(VALUE(K36),'HSL categorization'!D:E,2,TRUE)</f>
        <v>Light</v>
      </c>
      <c r="O36" s="20"/>
      <c r="P36" s="1" t="s">
        <v>1878</v>
      </c>
      <c r="Q36" s="1" t="s">
        <v>1835</v>
      </c>
      <c r="R36" s="1" t="s">
        <v>1821</v>
      </c>
      <c r="S36" s="1" t="s">
        <v>1816</v>
      </c>
      <c r="T36" s="1" t="s">
        <v>1834</v>
      </c>
      <c r="U36" s="4" t="s">
        <v>1831</v>
      </c>
      <c r="X36" t="s">
        <v>1152</v>
      </c>
      <c r="AA36">
        <v>5</v>
      </c>
      <c r="AB36" t="s">
        <v>1853</v>
      </c>
    </row>
    <row r="37" spans="1:28" x14ac:dyDescent="0.2">
      <c r="A37" s="1" t="s">
        <v>166</v>
      </c>
      <c r="B37" s="1" t="s">
        <v>167</v>
      </c>
      <c r="C37" s="1" t="s">
        <v>118</v>
      </c>
      <c r="D37" s="1" t="s">
        <v>119</v>
      </c>
      <c r="E37" s="1" t="s">
        <v>168</v>
      </c>
      <c r="F37" s="13" t="s">
        <v>169</v>
      </c>
      <c r="G37" s="70" t="s">
        <v>918</v>
      </c>
      <c r="H37" s="25" t="s">
        <v>1919</v>
      </c>
      <c r="I37" s="26">
        <v>349</v>
      </c>
      <c r="J37" s="27" t="s">
        <v>2116</v>
      </c>
      <c r="K37" s="33">
        <v>0.59799999999999998</v>
      </c>
      <c r="L37" s="20" t="str">
        <f>VLOOKUP(I37,'HSL categorization'!$A$2:$B$49,2,1)</f>
        <v>Crimson</v>
      </c>
      <c r="M37" s="20"/>
      <c r="N37" s="20" t="str">
        <f>VLOOKUP(VALUE(K37),'HSL categorization'!D:E,2,TRUE)</f>
        <v>Medium</v>
      </c>
      <c r="O37" s="20"/>
      <c r="P37" s="1" t="s">
        <v>1878</v>
      </c>
      <c r="Q37" s="1" t="s">
        <v>1835</v>
      </c>
      <c r="R37" s="1" t="s">
        <v>1821</v>
      </c>
      <c r="S37" s="1" t="s">
        <v>1816</v>
      </c>
      <c r="T37" s="1" t="s">
        <v>1834</v>
      </c>
      <c r="U37" s="4" t="s">
        <v>1831</v>
      </c>
      <c r="X37" t="s">
        <v>1152</v>
      </c>
      <c r="AA37">
        <v>5</v>
      </c>
      <c r="AB37" t="s">
        <v>1853</v>
      </c>
    </row>
    <row r="38" spans="1:28" x14ac:dyDescent="0.2">
      <c r="A38" s="1" t="s">
        <v>170</v>
      </c>
      <c r="B38" s="1" t="s">
        <v>171</v>
      </c>
      <c r="C38" s="1" t="s">
        <v>118</v>
      </c>
      <c r="D38" s="1" t="s">
        <v>119</v>
      </c>
      <c r="E38" s="1" t="s">
        <v>172</v>
      </c>
      <c r="F38" s="13" t="s">
        <v>173</v>
      </c>
      <c r="G38" s="71" t="s">
        <v>919</v>
      </c>
      <c r="H38" s="25" t="s">
        <v>1920</v>
      </c>
      <c r="I38" s="26">
        <v>4</v>
      </c>
      <c r="J38" s="27" t="s">
        <v>2109</v>
      </c>
      <c r="K38" s="33">
        <v>0.55700000000000005</v>
      </c>
      <c r="L38" s="20" t="str">
        <f>VLOOKUP(I38,'HSL categorization'!$A$2:$B$49,2,1)</f>
        <v>Red</v>
      </c>
      <c r="M38" s="20"/>
      <c r="N38" s="20" t="str">
        <f>VLOOKUP(VALUE(K38),'HSL categorization'!D:E,2,TRUE)</f>
        <v>Medium</v>
      </c>
      <c r="O38" s="20"/>
      <c r="P38" s="1" t="s">
        <v>1878</v>
      </c>
      <c r="Q38" s="1" t="s">
        <v>1835</v>
      </c>
      <c r="R38" s="1" t="s">
        <v>1821</v>
      </c>
      <c r="S38" s="1" t="s">
        <v>1816</v>
      </c>
      <c r="T38" s="1" t="s">
        <v>1834</v>
      </c>
      <c r="U38" s="4" t="s">
        <v>1831</v>
      </c>
      <c r="X38" t="s">
        <v>1152</v>
      </c>
      <c r="AA38">
        <v>5</v>
      </c>
      <c r="AB38" t="s">
        <v>1853</v>
      </c>
    </row>
    <row r="39" spans="1:28" x14ac:dyDescent="0.2">
      <c r="A39" s="1" t="s">
        <v>174</v>
      </c>
      <c r="B39" s="1" t="s">
        <v>175</v>
      </c>
      <c r="C39" s="1" t="s">
        <v>176</v>
      </c>
      <c r="D39" s="1" t="s">
        <v>177</v>
      </c>
      <c r="E39" s="1" t="s">
        <v>178</v>
      </c>
      <c r="F39" s="13" t="s">
        <v>179</v>
      </c>
      <c r="G39" s="72" t="s">
        <v>1002</v>
      </c>
      <c r="H39" s="25" t="s">
        <v>1921</v>
      </c>
      <c r="I39" s="26">
        <v>358</v>
      </c>
      <c r="J39" s="27" t="s">
        <v>2103</v>
      </c>
      <c r="K39" s="33">
        <v>0.57999999999999996</v>
      </c>
      <c r="L39" s="20" t="str">
        <f>VLOOKUP(I39,'HSL categorization'!$A$2:$B$49,2,1)</f>
        <v>Amaranth</v>
      </c>
      <c r="M39" s="20"/>
      <c r="N39" s="20" t="str">
        <f>VLOOKUP(VALUE(K39),'HSL categorization'!D:E,2,TRUE)</f>
        <v>Medium</v>
      </c>
      <c r="O39" s="20"/>
      <c r="P39" s="1" t="s">
        <v>1878</v>
      </c>
      <c r="Q39" s="1" t="s">
        <v>1854</v>
      </c>
      <c r="R39" s="1" t="s">
        <v>1821</v>
      </c>
      <c r="S39" s="1" t="s">
        <v>1847</v>
      </c>
      <c r="T39" s="1" t="s">
        <v>1834</v>
      </c>
      <c r="U39" s="4" t="s">
        <v>1831</v>
      </c>
      <c r="X39" t="s">
        <v>1152</v>
      </c>
      <c r="AA39">
        <v>4.3</v>
      </c>
      <c r="AB39" t="s">
        <v>1855</v>
      </c>
    </row>
    <row r="40" spans="1:28" x14ac:dyDescent="0.2">
      <c r="A40" s="1" t="s">
        <v>180</v>
      </c>
      <c r="B40" s="1" t="s">
        <v>181</v>
      </c>
      <c r="C40" s="1" t="s">
        <v>176</v>
      </c>
      <c r="D40" s="1" t="s">
        <v>177</v>
      </c>
      <c r="E40" s="1" t="s">
        <v>182</v>
      </c>
      <c r="F40" s="13" t="s">
        <v>183</v>
      </c>
      <c r="G40" s="73" t="s">
        <v>1003</v>
      </c>
      <c r="H40" s="25" t="s">
        <v>1922</v>
      </c>
      <c r="I40" s="26">
        <v>358</v>
      </c>
      <c r="J40" s="27" t="s">
        <v>2117</v>
      </c>
      <c r="K40" s="33">
        <v>0.28199999999999997</v>
      </c>
      <c r="L40" s="20" t="str">
        <f>VLOOKUP(I40,'HSL categorization'!$A$2:$B$49,2,1)</f>
        <v>Amaranth</v>
      </c>
      <c r="M40" s="20"/>
      <c r="N40" s="20" t="str">
        <f>VLOOKUP(VALUE(K40),'HSL categorization'!D:E,2,TRUE)</f>
        <v>Dark</v>
      </c>
      <c r="O40" s="20"/>
      <c r="P40" s="1" t="s">
        <v>1878</v>
      </c>
      <c r="Q40" s="1" t="s">
        <v>1854</v>
      </c>
      <c r="R40" s="1" t="s">
        <v>1821</v>
      </c>
      <c r="S40" s="1" t="s">
        <v>1847</v>
      </c>
      <c r="T40" s="1" t="s">
        <v>1834</v>
      </c>
      <c r="U40" s="4" t="s">
        <v>1831</v>
      </c>
      <c r="X40" t="s">
        <v>1152</v>
      </c>
      <c r="AA40">
        <v>4.3</v>
      </c>
      <c r="AB40" t="s">
        <v>1855</v>
      </c>
    </row>
    <row r="41" spans="1:28" x14ac:dyDescent="0.2">
      <c r="A41" s="1" t="s">
        <v>184</v>
      </c>
      <c r="B41" s="1" t="s">
        <v>185</v>
      </c>
      <c r="C41" s="1" t="s">
        <v>176</v>
      </c>
      <c r="D41" s="1" t="s">
        <v>177</v>
      </c>
      <c r="E41" s="1" t="s">
        <v>186</v>
      </c>
      <c r="F41" s="13" t="s">
        <v>187</v>
      </c>
      <c r="G41" s="74" t="s">
        <v>1004</v>
      </c>
      <c r="H41" s="25" t="s">
        <v>1923</v>
      </c>
      <c r="I41" s="26">
        <v>348</v>
      </c>
      <c r="J41" s="27" t="s">
        <v>2118</v>
      </c>
      <c r="K41" s="33">
        <v>0.42499999999999999</v>
      </c>
      <c r="L41" s="20" t="str">
        <f>VLOOKUP(I41,'HSL categorization'!$A$2:$B$49,2,1)</f>
        <v>Crimson</v>
      </c>
      <c r="M41" s="20"/>
      <c r="N41" s="20" t="str">
        <f>VLOOKUP(VALUE(K41),'HSL categorization'!D:E,2,TRUE)</f>
        <v>Medium</v>
      </c>
      <c r="O41" s="20"/>
      <c r="P41" s="1" t="s">
        <v>1878</v>
      </c>
      <c r="Q41" s="1" t="s">
        <v>1854</v>
      </c>
      <c r="R41" s="1" t="s">
        <v>1821</v>
      </c>
      <c r="S41" s="1" t="s">
        <v>1847</v>
      </c>
      <c r="T41" s="1" t="s">
        <v>1834</v>
      </c>
      <c r="U41" s="4" t="s">
        <v>1831</v>
      </c>
      <c r="X41" t="s">
        <v>1152</v>
      </c>
      <c r="AA41">
        <v>4.3</v>
      </c>
      <c r="AB41" t="s">
        <v>1855</v>
      </c>
    </row>
    <row r="42" spans="1:28" x14ac:dyDescent="0.2">
      <c r="A42" s="1" t="s">
        <v>188</v>
      </c>
      <c r="B42" s="1" t="s">
        <v>189</v>
      </c>
      <c r="C42" s="1" t="s">
        <v>176</v>
      </c>
      <c r="D42" s="1" t="s">
        <v>177</v>
      </c>
      <c r="E42" s="1" t="s">
        <v>190</v>
      </c>
      <c r="F42" s="13" t="s">
        <v>191</v>
      </c>
      <c r="G42" s="75" t="s">
        <v>1005</v>
      </c>
      <c r="H42" s="25" t="s">
        <v>1924</v>
      </c>
      <c r="I42" s="26">
        <v>340</v>
      </c>
      <c r="J42" s="27" t="s">
        <v>2103</v>
      </c>
      <c r="K42" s="33">
        <v>0.48799999999999999</v>
      </c>
      <c r="L42" s="20" t="str">
        <f>VLOOKUP(I42,'HSL categorization'!$A$2:$B$49,2,1)</f>
        <v>Raspberry</v>
      </c>
      <c r="M42" s="20"/>
      <c r="N42" s="20" t="str">
        <f>VLOOKUP(VALUE(K42),'HSL categorization'!D:E,2,TRUE)</f>
        <v>Medium</v>
      </c>
      <c r="O42" s="20"/>
      <c r="P42" s="1" t="s">
        <v>1878</v>
      </c>
      <c r="Q42" s="1" t="s">
        <v>1854</v>
      </c>
      <c r="R42" s="1" t="s">
        <v>1821</v>
      </c>
      <c r="S42" s="1" t="s">
        <v>1847</v>
      </c>
      <c r="T42" s="1" t="s">
        <v>1834</v>
      </c>
      <c r="U42" s="4" t="s">
        <v>1831</v>
      </c>
      <c r="X42" t="s">
        <v>1152</v>
      </c>
      <c r="AA42">
        <v>4.3</v>
      </c>
      <c r="AB42" t="s">
        <v>1855</v>
      </c>
    </row>
    <row r="43" spans="1:28" x14ac:dyDescent="0.2">
      <c r="A43" s="1" t="s">
        <v>192</v>
      </c>
      <c r="B43" s="1" t="s">
        <v>193</v>
      </c>
      <c r="C43" s="1" t="s">
        <v>194</v>
      </c>
      <c r="D43" s="1" t="s">
        <v>195</v>
      </c>
      <c r="E43" s="1" t="s">
        <v>196</v>
      </c>
      <c r="F43" s="13" t="s">
        <v>197</v>
      </c>
      <c r="G43" s="76" t="s">
        <v>901</v>
      </c>
      <c r="H43" s="25" t="s">
        <v>1925</v>
      </c>
      <c r="I43" s="26">
        <v>19</v>
      </c>
      <c r="J43" s="27" t="s">
        <v>2119</v>
      </c>
      <c r="K43" s="33">
        <v>0.28000000000000003</v>
      </c>
      <c r="L43" s="20" t="str">
        <f>VLOOKUP(I43,'HSL categorization'!$A$2:$B$49,2,1)</f>
        <v>Vermilion</v>
      </c>
      <c r="M43" s="20"/>
      <c r="N43" s="20" t="str">
        <f>VLOOKUP(VALUE(K43),'HSL categorization'!D:E,2,TRUE)</f>
        <v>Dark</v>
      </c>
      <c r="O43" s="20"/>
      <c r="P43" s="1" t="s">
        <v>1879</v>
      </c>
      <c r="Q43" s="1" t="s">
        <v>1845</v>
      </c>
      <c r="R43" s="1" t="s">
        <v>1821</v>
      </c>
      <c r="S43" s="1" t="s">
        <v>1842</v>
      </c>
      <c r="T43" s="1" t="s">
        <v>1834</v>
      </c>
      <c r="Y43" t="s">
        <v>1823</v>
      </c>
      <c r="AA43">
        <v>4.0999999999999996</v>
      </c>
      <c r="AB43" t="s">
        <v>1843</v>
      </c>
    </row>
    <row r="44" spans="1:28" x14ac:dyDescent="0.2">
      <c r="A44" s="1" t="s">
        <v>198</v>
      </c>
      <c r="B44" s="1" t="s">
        <v>199</v>
      </c>
      <c r="C44" s="1" t="s">
        <v>194</v>
      </c>
      <c r="D44" s="1" t="s">
        <v>195</v>
      </c>
      <c r="E44" s="1" t="s">
        <v>200</v>
      </c>
      <c r="F44" s="13" t="s">
        <v>201</v>
      </c>
      <c r="G44" s="77" t="s">
        <v>902</v>
      </c>
      <c r="H44" s="25" t="s">
        <v>1926</v>
      </c>
      <c r="I44" s="26">
        <v>2</v>
      </c>
      <c r="J44" s="27" t="s">
        <v>2120</v>
      </c>
      <c r="K44" s="33">
        <v>0.34100000000000003</v>
      </c>
      <c r="L44" s="20" t="str">
        <f>VLOOKUP(I44,'HSL categorization'!$A$2:$B$49,2,1)</f>
        <v>Red</v>
      </c>
      <c r="M44" s="20"/>
      <c r="N44" s="20" t="str">
        <f>VLOOKUP(VALUE(K44),'HSL categorization'!D:E,2,TRUE)</f>
        <v>Dark</v>
      </c>
      <c r="O44" s="20"/>
      <c r="P44" s="1" t="s">
        <v>1879</v>
      </c>
      <c r="Q44" s="1" t="s">
        <v>1845</v>
      </c>
      <c r="R44" s="1" t="s">
        <v>1821</v>
      </c>
      <c r="S44" s="1" t="s">
        <v>1842</v>
      </c>
      <c r="T44" s="1" t="s">
        <v>1834</v>
      </c>
      <c r="Y44" t="s">
        <v>1823</v>
      </c>
      <c r="AA44">
        <v>4.0999999999999996</v>
      </c>
      <c r="AB44" t="s">
        <v>1843</v>
      </c>
    </row>
    <row r="45" spans="1:28" x14ac:dyDescent="0.2">
      <c r="A45" s="1" t="s">
        <v>202</v>
      </c>
      <c r="B45" s="1" t="s">
        <v>203</v>
      </c>
      <c r="C45" s="1" t="s">
        <v>194</v>
      </c>
      <c r="D45" s="1" t="s">
        <v>195</v>
      </c>
      <c r="E45" s="1" t="s">
        <v>204</v>
      </c>
      <c r="F45" s="13" t="s">
        <v>205</v>
      </c>
      <c r="G45" s="78" t="s">
        <v>903</v>
      </c>
      <c r="H45" s="25" t="s">
        <v>1927</v>
      </c>
      <c r="I45" s="26">
        <v>44</v>
      </c>
      <c r="J45" s="27" t="s">
        <v>2121</v>
      </c>
      <c r="K45" s="33">
        <v>0.20200000000000001</v>
      </c>
      <c r="L45" s="20" t="str">
        <f>VLOOKUP(I45,'HSL categorization'!$A$2:$B$49,2,1)</f>
        <v>Gamboge</v>
      </c>
      <c r="M45" s="20"/>
      <c r="N45" s="20" t="str">
        <f>VLOOKUP(VALUE(K45),'HSL categorization'!D:E,2,TRUE)</f>
        <v>Dark</v>
      </c>
      <c r="O45" s="20"/>
      <c r="P45" s="1" t="s">
        <v>1879</v>
      </c>
      <c r="Q45" s="1" t="s">
        <v>1845</v>
      </c>
      <c r="R45" s="1" t="s">
        <v>1821</v>
      </c>
      <c r="S45" s="1" t="s">
        <v>1842</v>
      </c>
      <c r="T45" s="1" t="s">
        <v>1834</v>
      </c>
      <c r="Y45" t="s">
        <v>1823</v>
      </c>
      <c r="AA45">
        <v>4.0999999999999996</v>
      </c>
      <c r="AB45" t="s">
        <v>1843</v>
      </c>
    </row>
    <row r="46" spans="1:28" x14ac:dyDescent="0.2">
      <c r="A46" s="1" t="s">
        <v>206</v>
      </c>
      <c r="B46" s="1" t="s">
        <v>207</v>
      </c>
      <c r="C46" s="1" t="s">
        <v>208</v>
      </c>
      <c r="D46" s="1" t="s">
        <v>209</v>
      </c>
      <c r="E46" s="1" t="s">
        <v>210</v>
      </c>
      <c r="F46" s="13" t="s">
        <v>211</v>
      </c>
      <c r="G46" s="79" t="s">
        <v>921</v>
      </c>
      <c r="H46" s="25" t="s">
        <v>1928</v>
      </c>
      <c r="I46" s="26">
        <v>356</v>
      </c>
      <c r="J46" s="27" t="s">
        <v>2103</v>
      </c>
      <c r="K46" s="33">
        <v>0.76500000000000001</v>
      </c>
      <c r="L46" s="20" t="str">
        <f>VLOOKUP(I46,'HSL categorization'!$A$2:$B$49,2,1)</f>
        <v>Amaranth</v>
      </c>
      <c r="M46" s="20"/>
      <c r="N46" s="20" t="str">
        <f>VLOOKUP(VALUE(K46),'HSL categorization'!D:E,2,TRUE)</f>
        <v>Light</v>
      </c>
      <c r="O46" s="20"/>
      <c r="P46" s="1" t="s">
        <v>1878</v>
      </c>
      <c r="Q46" s="1" t="s">
        <v>1854</v>
      </c>
      <c r="R46" s="1" t="s">
        <v>1821</v>
      </c>
      <c r="S46" s="1" t="s">
        <v>1816</v>
      </c>
      <c r="T46" s="1" t="s">
        <v>1834</v>
      </c>
      <c r="X46" t="s">
        <v>1152</v>
      </c>
      <c r="AA46">
        <v>4.8</v>
      </c>
      <c r="AB46" t="s">
        <v>1853</v>
      </c>
    </row>
    <row r="47" spans="1:28" x14ac:dyDescent="0.2">
      <c r="A47" s="1" t="s">
        <v>212</v>
      </c>
      <c r="B47" s="1" t="s">
        <v>213</v>
      </c>
      <c r="C47" s="1" t="s">
        <v>208</v>
      </c>
      <c r="D47" s="1" t="s">
        <v>209</v>
      </c>
      <c r="E47" s="1" t="s">
        <v>214</v>
      </c>
      <c r="F47" s="13" t="s">
        <v>215</v>
      </c>
      <c r="G47" s="80" t="s">
        <v>922</v>
      </c>
      <c r="H47" s="25" t="s">
        <v>1929</v>
      </c>
      <c r="I47" s="26">
        <v>4</v>
      </c>
      <c r="J47" s="27" t="s">
        <v>2103</v>
      </c>
      <c r="K47" s="33">
        <v>0.69399999999999995</v>
      </c>
      <c r="L47" s="20" t="str">
        <f>VLOOKUP(I47,'HSL categorization'!$A$2:$B$49,2,1)</f>
        <v>Red</v>
      </c>
      <c r="M47" s="20"/>
      <c r="N47" s="20" t="str">
        <f>VLOOKUP(VALUE(K47),'HSL categorization'!D:E,2,TRUE)</f>
        <v>Medium</v>
      </c>
      <c r="O47" s="20"/>
      <c r="P47" s="1" t="s">
        <v>1878</v>
      </c>
      <c r="Q47" s="1" t="s">
        <v>1854</v>
      </c>
      <c r="R47" s="1" t="s">
        <v>1821</v>
      </c>
      <c r="S47" s="1" t="s">
        <v>1816</v>
      </c>
      <c r="T47" s="1" t="s">
        <v>1834</v>
      </c>
      <c r="X47" t="s">
        <v>1152</v>
      </c>
      <c r="AA47">
        <v>4.8</v>
      </c>
      <c r="AB47" t="s">
        <v>1853</v>
      </c>
    </row>
    <row r="48" spans="1:28" x14ac:dyDescent="0.2">
      <c r="A48" s="1" t="s">
        <v>216</v>
      </c>
      <c r="B48" s="1" t="s">
        <v>217</v>
      </c>
      <c r="C48" s="1" t="s">
        <v>208</v>
      </c>
      <c r="D48" s="1" t="s">
        <v>209</v>
      </c>
      <c r="E48" s="1" t="s">
        <v>218</v>
      </c>
      <c r="F48" s="13" t="s">
        <v>219</v>
      </c>
      <c r="G48" s="81" t="s">
        <v>923</v>
      </c>
      <c r="H48" s="25" t="s">
        <v>1930</v>
      </c>
      <c r="I48" s="26">
        <v>8</v>
      </c>
      <c r="J48" s="27" t="s">
        <v>2103</v>
      </c>
      <c r="K48" s="33">
        <v>0.58399999999999996</v>
      </c>
      <c r="L48" s="20" t="str">
        <f>VLOOKUP(I48,'HSL categorization'!$A$2:$B$49,2,1)</f>
        <v>Scarlet</v>
      </c>
      <c r="M48" s="20"/>
      <c r="N48" s="20" t="str">
        <f>VLOOKUP(VALUE(K48),'HSL categorization'!D:E,2,TRUE)</f>
        <v>Medium</v>
      </c>
      <c r="O48" s="20"/>
      <c r="P48" s="1" t="s">
        <v>1878</v>
      </c>
      <c r="Q48" s="1" t="s">
        <v>1854</v>
      </c>
      <c r="R48" s="1" t="s">
        <v>1821</v>
      </c>
      <c r="S48" s="1" t="s">
        <v>1816</v>
      </c>
      <c r="T48" s="1" t="s">
        <v>1834</v>
      </c>
      <c r="X48" t="s">
        <v>1152</v>
      </c>
      <c r="AA48">
        <v>4.8</v>
      </c>
      <c r="AB48" t="s">
        <v>1853</v>
      </c>
    </row>
    <row r="49" spans="1:28" x14ac:dyDescent="0.2">
      <c r="A49" s="1" t="s">
        <v>220</v>
      </c>
      <c r="B49" s="1" t="s">
        <v>221</v>
      </c>
      <c r="C49" s="1" t="s">
        <v>208</v>
      </c>
      <c r="D49" s="1" t="s">
        <v>209</v>
      </c>
      <c r="E49" s="1" t="s">
        <v>222</v>
      </c>
      <c r="F49" s="13" t="s">
        <v>223</v>
      </c>
      <c r="G49" s="82" t="s">
        <v>924</v>
      </c>
      <c r="H49" s="25" t="s">
        <v>1931</v>
      </c>
      <c r="I49" s="26">
        <v>346</v>
      </c>
      <c r="J49" s="27" t="s">
        <v>2103</v>
      </c>
      <c r="K49" s="33">
        <v>0.48199999999999998</v>
      </c>
      <c r="L49" s="20" t="str">
        <f>VLOOKUP(I49,'HSL categorization'!$A$2:$B$49,2,1)</f>
        <v>Crimson</v>
      </c>
      <c r="M49" s="20"/>
      <c r="N49" s="20" t="str">
        <f>VLOOKUP(VALUE(K49),'HSL categorization'!D:E,2,TRUE)</f>
        <v>Medium</v>
      </c>
      <c r="O49" s="20"/>
      <c r="P49" s="1" t="s">
        <v>1878</v>
      </c>
      <c r="Q49" s="1" t="s">
        <v>1854</v>
      </c>
      <c r="R49" s="1" t="s">
        <v>1821</v>
      </c>
      <c r="S49" s="1" t="s">
        <v>1816</v>
      </c>
      <c r="T49" s="1" t="s">
        <v>1834</v>
      </c>
      <c r="X49" t="s">
        <v>1152</v>
      </c>
      <c r="AA49">
        <v>4.8</v>
      </c>
      <c r="AB49" t="s">
        <v>1853</v>
      </c>
    </row>
    <row r="50" spans="1:28" x14ac:dyDescent="0.2">
      <c r="A50" s="1" t="s">
        <v>224</v>
      </c>
      <c r="B50" s="1" t="s">
        <v>225</v>
      </c>
      <c r="C50" s="1" t="s">
        <v>208</v>
      </c>
      <c r="D50" s="1" t="s">
        <v>209</v>
      </c>
      <c r="E50" s="1" t="s">
        <v>226</v>
      </c>
      <c r="F50" s="13" t="s">
        <v>227</v>
      </c>
      <c r="G50" s="83" t="s">
        <v>925</v>
      </c>
      <c r="H50" s="25" t="s">
        <v>1932</v>
      </c>
      <c r="I50" s="26">
        <v>356</v>
      </c>
      <c r="J50" s="27" t="s">
        <v>2122</v>
      </c>
      <c r="K50" s="33">
        <v>0.73899999999999999</v>
      </c>
      <c r="L50" s="20" t="str">
        <f>VLOOKUP(I50,'HSL categorization'!$A$2:$B$49,2,1)</f>
        <v>Amaranth</v>
      </c>
      <c r="M50" s="20"/>
      <c r="N50" s="20" t="str">
        <f>VLOOKUP(VALUE(K50),'HSL categorization'!D:E,2,TRUE)</f>
        <v>Light</v>
      </c>
      <c r="O50" s="20"/>
      <c r="P50" s="1" t="s">
        <v>1878</v>
      </c>
      <c r="Q50" s="1" t="s">
        <v>1854</v>
      </c>
      <c r="R50" s="1" t="s">
        <v>1821</v>
      </c>
      <c r="S50" s="1" t="s">
        <v>1816</v>
      </c>
      <c r="T50" s="1" t="s">
        <v>1834</v>
      </c>
      <c r="X50" t="s">
        <v>1152</v>
      </c>
      <c r="AA50">
        <v>4.8</v>
      </c>
      <c r="AB50" t="s">
        <v>1853</v>
      </c>
    </row>
    <row r="51" spans="1:28" x14ac:dyDescent="0.2">
      <c r="A51" s="1" t="s">
        <v>228</v>
      </c>
      <c r="B51" s="1" t="s">
        <v>229</v>
      </c>
      <c r="C51" s="1" t="s">
        <v>208</v>
      </c>
      <c r="D51" s="1" t="s">
        <v>209</v>
      </c>
      <c r="E51" s="1" t="s">
        <v>230</v>
      </c>
      <c r="F51" s="13" t="s">
        <v>231</v>
      </c>
      <c r="G51" s="84" t="s">
        <v>926</v>
      </c>
      <c r="H51" s="25" t="s">
        <v>1933</v>
      </c>
      <c r="I51" s="26">
        <v>354</v>
      </c>
      <c r="J51" s="27" t="s">
        <v>2103</v>
      </c>
      <c r="K51" s="33">
        <v>0.61199999999999999</v>
      </c>
      <c r="L51" s="20" t="str">
        <f>VLOOKUP(I51,'HSL categorization'!$A$2:$B$49,2,1)</f>
        <v>Amaranth</v>
      </c>
      <c r="M51" s="20"/>
      <c r="N51" s="20" t="str">
        <f>VLOOKUP(VALUE(K51),'HSL categorization'!D:E,2,TRUE)</f>
        <v>Medium</v>
      </c>
      <c r="O51" s="20"/>
      <c r="P51" s="1" t="s">
        <v>1878</v>
      </c>
      <c r="Q51" s="1" t="s">
        <v>1854</v>
      </c>
      <c r="R51" s="1" t="s">
        <v>1821</v>
      </c>
      <c r="S51" s="1" t="s">
        <v>1816</v>
      </c>
      <c r="T51" s="1" t="s">
        <v>1834</v>
      </c>
      <c r="X51" t="s">
        <v>1152</v>
      </c>
      <c r="AA51">
        <v>4.8</v>
      </c>
      <c r="AB51" t="s">
        <v>1853</v>
      </c>
    </row>
    <row r="52" spans="1:28" x14ac:dyDescent="0.2">
      <c r="A52" s="1" t="s">
        <v>232</v>
      </c>
      <c r="B52" s="1" t="s">
        <v>233</v>
      </c>
      <c r="C52" s="1" t="s">
        <v>208</v>
      </c>
      <c r="D52" s="1" t="s">
        <v>209</v>
      </c>
      <c r="E52" s="1" t="s">
        <v>234</v>
      </c>
      <c r="F52" s="13" t="s">
        <v>235</v>
      </c>
      <c r="G52" s="85" t="s">
        <v>927</v>
      </c>
      <c r="H52" s="25" t="s">
        <v>1934</v>
      </c>
      <c r="I52" s="26">
        <v>356</v>
      </c>
      <c r="J52" s="27" t="s">
        <v>2103</v>
      </c>
      <c r="K52" s="33">
        <v>0.74299999999999999</v>
      </c>
      <c r="L52" s="20" t="str">
        <f>VLOOKUP(I52,'HSL categorization'!$A$2:$B$49,2,1)</f>
        <v>Amaranth</v>
      </c>
      <c r="M52" s="20"/>
      <c r="N52" s="20" t="str">
        <f>VLOOKUP(VALUE(K52),'HSL categorization'!D:E,2,TRUE)</f>
        <v>Light</v>
      </c>
      <c r="O52" s="20"/>
      <c r="P52" s="1" t="s">
        <v>1878</v>
      </c>
      <c r="Q52" s="1" t="s">
        <v>1854</v>
      </c>
      <c r="R52" s="1" t="s">
        <v>1821</v>
      </c>
      <c r="S52" s="1" t="s">
        <v>1816</v>
      </c>
      <c r="T52" s="1" t="s">
        <v>1834</v>
      </c>
      <c r="X52" t="s">
        <v>1152</v>
      </c>
      <c r="AA52">
        <v>4.8</v>
      </c>
      <c r="AB52" t="s">
        <v>1853</v>
      </c>
    </row>
    <row r="53" spans="1:28" x14ac:dyDescent="0.2">
      <c r="A53" s="1" t="s">
        <v>236</v>
      </c>
      <c r="B53" s="1" t="s">
        <v>237</v>
      </c>
      <c r="C53" s="1" t="s">
        <v>208</v>
      </c>
      <c r="D53" s="1" t="s">
        <v>209</v>
      </c>
      <c r="E53" s="1" t="s">
        <v>238</v>
      </c>
      <c r="F53" s="13" t="s">
        <v>239</v>
      </c>
      <c r="G53" s="86" t="s">
        <v>928</v>
      </c>
      <c r="H53" s="25" t="s">
        <v>1935</v>
      </c>
      <c r="I53" s="26">
        <v>353</v>
      </c>
      <c r="J53" s="27" t="s">
        <v>2123</v>
      </c>
      <c r="K53" s="33">
        <v>0.59399999999999997</v>
      </c>
      <c r="L53" s="20" t="str">
        <f>VLOOKUP(I53,'HSL categorization'!$A$2:$B$49,2,1)</f>
        <v>Amaranth</v>
      </c>
      <c r="M53" s="20"/>
      <c r="N53" s="20" t="str">
        <f>VLOOKUP(VALUE(K53),'HSL categorization'!D:E,2,TRUE)</f>
        <v>Medium</v>
      </c>
      <c r="O53" s="20"/>
      <c r="P53" s="1" t="s">
        <v>1878</v>
      </c>
      <c r="Q53" s="1" t="s">
        <v>1854</v>
      </c>
      <c r="R53" s="1" t="s">
        <v>1821</v>
      </c>
      <c r="S53" s="1" t="s">
        <v>1816</v>
      </c>
      <c r="T53" s="1" t="s">
        <v>1834</v>
      </c>
      <c r="X53" t="s">
        <v>1152</v>
      </c>
      <c r="AA53">
        <v>4.8</v>
      </c>
      <c r="AB53" t="s">
        <v>1853</v>
      </c>
    </row>
    <row r="54" spans="1:28" x14ac:dyDescent="0.2">
      <c r="A54" s="1" t="s">
        <v>240</v>
      </c>
      <c r="B54" s="1" t="s">
        <v>241</v>
      </c>
      <c r="C54" s="1" t="s">
        <v>208</v>
      </c>
      <c r="D54" s="1" t="s">
        <v>209</v>
      </c>
      <c r="E54" s="1" t="s">
        <v>242</v>
      </c>
      <c r="F54" s="13" t="s">
        <v>243</v>
      </c>
      <c r="G54" s="87" t="s">
        <v>929</v>
      </c>
      <c r="H54" s="25" t="s">
        <v>1936</v>
      </c>
      <c r="I54" s="26">
        <v>2</v>
      </c>
      <c r="J54" s="27" t="s">
        <v>2103</v>
      </c>
      <c r="K54" s="33">
        <v>0.60199999999999998</v>
      </c>
      <c r="L54" s="20" t="str">
        <f>VLOOKUP(I54,'HSL categorization'!$A$2:$B$49,2,1)</f>
        <v>Red</v>
      </c>
      <c r="M54" s="20"/>
      <c r="N54" s="20" t="str">
        <f>VLOOKUP(VALUE(K54),'HSL categorization'!D:E,2,TRUE)</f>
        <v>Medium</v>
      </c>
      <c r="O54" s="20"/>
      <c r="P54" s="1" t="s">
        <v>1878</v>
      </c>
      <c r="Q54" s="1" t="s">
        <v>1854</v>
      </c>
      <c r="R54" s="1" t="s">
        <v>1821</v>
      </c>
      <c r="S54" s="1" t="s">
        <v>1816</v>
      </c>
      <c r="T54" s="1" t="s">
        <v>1834</v>
      </c>
      <c r="X54" t="s">
        <v>1152</v>
      </c>
      <c r="AA54">
        <v>4.8</v>
      </c>
      <c r="AB54" t="s">
        <v>1853</v>
      </c>
    </row>
    <row r="55" spans="1:28" x14ac:dyDescent="0.2">
      <c r="A55" s="1" t="s">
        <v>244</v>
      </c>
      <c r="B55" s="1" t="s">
        <v>245</v>
      </c>
      <c r="C55" s="1" t="s">
        <v>208</v>
      </c>
      <c r="D55" s="1" t="s">
        <v>209</v>
      </c>
      <c r="E55" s="1" t="s">
        <v>246</v>
      </c>
      <c r="F55" s="13" t="s">
        <v>247</v>
      </c>
      <c r="G55" s="88" t="s">
        <v>930</v>
      </c>
      <c r="H55" s="25" t="s">
        <v>1937</v>
      </c>
      <c r="I55" s="26">
        <v>357</v>
      </c>
      <c r="J55" s="27" t="s">
        <v>2124</v>
      </c>
      <c r="K55" s="33">
        <v>0.61799999999999999</v>
      </c>
      <c r="L55" s="20" t="str">
        <f>VLOOKUP(I55,'HSL categorization'!$A$2:$B$49,2,1)</f>
        <v>Amaranth</v>
      </c>
      <c r="M55" s="20"/>
      <c r="N55" s="20" t="str">
        <f>VLOOKUP(VALUE(K55),'HSL categorization'!D:E,2,TRUE)</f>
        <v>Medium</v>
      </c>
      <c r="O55" s="20"/>
      <c r="P55" s="1" t="s">
        <v>1878</v>
      </c>
      <c r="Q55" s="1" t="s">
        <v>1854</v>
      </c>
      <c r="R55" s="1" t="s">
        <v>1821</v>
      </c>
      <c r="S55" s="1" t="s">
        <v>1816</v>
      </c>
      <c r="T55" s="1" t="s">
        <v>1834</v>
      </c>
      <c r="X55" t="s">
        <v>1152</v>
      </c>
      <c r="AA55">
        <v>4.8</v>
      </c>
      <c r="AB55" t="s">
        <v>1853</v>
      </c>
    </row>
    <row r="56" spans="1:28" x14ac:dyDescent="0.2">
      <c r="A56" s="1" t="s">
        <v>248</v>
      </c>
      <c r="B56" s="1" t="s">
        <v>249</v>
      </c>
      <c r="C56" s="1" t="s">
        <v>208</v>
      </c>
      <c r="D56" s="1" t="s">
        <v>209</v>
      </c>
      <c r="E56" s="1" t="s">
        <v>250</v>
      </c>
      <c r="F56" s="13" t="s">
        <v>251</v>
      </c>
      <c r="G56" s="89" t="s">
        <v>931</v>
      </c>
      <c r="H56" s="25" t="s">
        <v>1938</v>
      </c>
      <c r="I56" s="26">
        <v>343</v>
      </c>
      <c r="J56" s="27" t="s">
        <v>2103</v>
      </c>
      <c r="K56" s="33">
        <v>0.59799999999999998</v>
      </c>
      <c r="L56" s="20" t="str">
        <f>VLOOKUP(I56,'HSL categorization'!$A$2:$B$49,2,1)</f>
        <v>Raspberry</v>
      </c>
      <c r="M56" s="20"/>
      <c r="N56" s="20" t="str">
        <f>VLOOKUP(VALUE(K56),'HSL categorization'!D:E,2,TRUE)</f>
        <v>Medium</v>
      </c>
      <c r="O56" s="20"/>
      <c r="P56" s="1" t="s">
        <v>1878</v>
      </c>
      <c r="Q56" s="1" t="s">
        <v>1854</v>
      </c>
      <c r="R56" s="1" t="s">
        <v>1821</v>
      </c>
      <c r="S56" s="1" t="s">
        <v>1816</v>
      </c>
      <c r="T56" s="1" t="s">
        <v>1834</v>
      </c>
      <c r="X56" t="s">
        <v>1152</v>
      </c>
      <c r="AA56">
        <v>4.8</v>
      </c>
      <c r="AB56" t="s">
        <v>1853</v>
      </c>
    </row>
    <row r="57" spans="1:28" x14ac:dyDescent="0.2">
      <c r="A57" s="1" t="s">
        <v>252</v>
      </c>
      <c r="B57" s="1" t="s">
        <v>253</v>
      </c>
      <c r="C57" s="1" t="s">
        <v>208</v>
      </c>
      <c r="D57" s="1" t="s">
        <v>209</v>
      </c>
      <c r="E57" s="1" t="s">
        <v>254</v>
      </c>
      <c r="F57" s="13" t="s">
        <v>255</v>
      </c>
      <c r="G57" s="90" t="s">
        <v>932</v>
      </c>
      <c r="H57" s="25" t="s">
        <v>1939</v>
      </c>
      <c r="I57" s="26">
        <v>350</v>
      </c>
      <c r="J57" s="27" t="s">
        <v>2103</v>
      </c>
      <c r="K57" s="33">
        <v>0.46899999999999997</v>
      </c>
      <c r="L57" s="20" t="str">
        <f>VLOOKUP(I57,'HSL categorization'!$A$2:$B$49,2,1)</f>
        <v>Crimson</v>
      </c>
      <c r="M57" s="20"/>
      <c r="N57" s="20" t="str">
        <f>VLOOKUP(VALUE(K57),'HSL categorization'!D:E,2,TRUE)</f>
        <v>Medium</v>
      </c>
      <c r="O57" s="20"/>
      <c r="P57" s="1" t="s">
        <v>1878</v>
      </c>
      <c r="Q57" s="1" t="s">
        <v>1854</v>
      </c>
      <c r="R57" s="1" t="s">
        <v>1821</v>
      </c>
      <c r="S57" s="1" t="s">
        <v>1816</v>
      </c>
      <c r="T57" s="1" t="s">
        <v>1834</v>
      </c>
      <c r="X57" t="s">
        <v>1152</v>
      </c>
      <c r="AA57">
        <v>4.8</v>
      </c>
      <c r="AB57" t="s">
        <v>1853</v>
      </c>
    </row>
    <row r="58" spans="1:28" x14ac:dyDescent="0.2">
      <c r="A58" s="1" t="s">
        <v>256</v>
      </c>
      <c r="B58" s="1" t="s">
        <v>257</v>
      </c>
      <c r="C58" s="1" t="s">
        <v>208</v>
      </c>
      <c r="D58" s="1" t="s">
        <v>209</v>
      </c>
      <c r="E58" s="1" t="s">
        <v>258</v>
      </c>
      <c r="F58" s="13" t="s">
        <v>259</v>
      </c>
      <c r="G58" s="91" t="s">
        <v>933</v>
      </c>
      <c r="H58" s="25" t="s">
        <v>1940</v>
      </c>
      <c r="I58" s="26">
        <v>336</v>
      </c>
      <c r="J58" s="27" t="s">
        <v>2125</v>
      </c>
      <c r="K58" s="33">
        <v>0.33900000000000002</v>
      </c>
      <c r="L58" s="20" t="str">
        <f>VLOOKUP(I58,'HSL categorization'!$A$2:$B$49,2,1)</f>
        <v>Rose</v>
      </c>
      <c r="M58" s="20"/>
      <c r="N58" s="20" t="str">
        <f>VLOOKUP(VALUE(K58),'HSL categorization'!D:E,2,TRUE)</f>
        <v>Dark</v>
      </c>
      <c r="O58" s="20"/>
      <c r="P58" s="1" t="s">
        <v>1878</v>
      </c>
      <c r="Q58" s="1" t="s">
        <v>1854</v>
      </c>
      <c r="R58" s="1" t="s">
        <v>1821</v>
      </c>
      <c r="S58" s="1" t="s">
        <v>1816</v>
      </c>
      <c r="T58" s="1" t="s">
        <v>1834</v>
      </c>
      <c r="X58" t="s">
        <v>1152</v>
      </c>
      <c r="AA58">
        <v>4.8</v>
      </c>
      <c r="AB58" t="s">
        <v>1853</v>
      </c>
    </row>
    <row r="59" spans="1:28" x14ac:dyDescent="0.2">
      <c r="A59" s="1" t="s">
        <v>260</v>
      </c>
      <c r="B59" s="1" t="s">
        <v>261</v>
      </c>
      <c r="C59" s="1" t="s">
        <v>208</v>
      </c>
      <c r="D59" s="1" t="s">
        <v>209</v>
      </c>
      <c r="E59" s="1" t="s">
        <v>262</v>
      </c>
      <c r="F59" s="13" t="s">
        <v>263</v>
      </c>
      <c r="G59" s="92" t="s">
        <v>934</v>
      </c>
      <c r="H59" s="25" t="s">
        <v>1941</v>
      </c>
      <c r="I59" s="26">
        <v>340</v>
      </c>
      <c r="J59" s="27" t="s">
        <v>2103</v>
      </c>
      <c r="K59" s="33">
        <v>0.42699999999999999</v>
      </c>
      <c r="L59" s="20" t="str">
        <f>VLOOKUP(I59,'HSL categorization'!$A$2:$B$49,2,1)</f>
        <v>Raspberry</v>
      </c>
      <c r="M59" s="20"/>
      <c r="N59" s="20" t="str">
        <f>VLOOKUP(VALUE(K59),'HSL categorization'!D:E,2,TRUE)</f>
        <v>Medium</v>
      </c>
      <c r="O59" s="20"/>
      <c r="P59" s="1" t="s">
        <v>1878</v>
      </c>
      <c r="Q59" s="1" t="s">
        <v>1854</v>
      </c>
      <c r="R59" s="1" t="s">
        <v>1821</v>
      </c>
      <c r="S59" s="1" t="s">
        <v>1816</v>
      </c>
      <c r="T59" s="1" t="s">
        <v>1834</v>
      </c>
      <c r="X59" t="s">
        <v>1152</v>
      </c>
      <c r="AA59">
        <v>4.8</v>
      </c>
      <c r="AB59" t="s">
        <v>1853</v>
      </c>
    </row>
    <row r="60" spans="1:28" x14ac:dyDescent="0.2">
      <c r="A60" s="1" t="s">
        <v>264</v>
      </c>
      <c r="B60" s="1" t="s">
        <v>265</v>
      </c>
      <c r="C60" s="1" t="s">
        <v>208</v>
      </c>
      <c r="D60" s="1" t="s">
        <v>209</v>
      </c>
      <c r="E60" s="1" t="s">
        <v>266</v>
      </c>
      <c r="F60" s="13" t="s">
        <v>267</v>
      </c>
      <c r="G60" s="93" t="s">
        <v>935</v>
      </c>
      <c r="H60" s="25" t="s">
        <v>1942</v>
      </c>
      <c r="I60" s="26">
        <v>348</v>
      </c>
      <c r="J60" s="27" t="s">
        <v>2126</v>
      </c>
      <c r="K60" s="33">
        <v>0.60399999999999998</v>
      </c>
      <c r="L60" s="20" t="str">
        <f>VLOOKUP(I60,'HSL categorization'!$A$2:$B$49,2,1)</f>
        <v>Crimson</v>
      </c>
      <c r="M60" s="20"/>
      <c r="N60" s="20" t="str">
        <f>VLOOKUP(VALUE(K60),'HSL categorization'!D:E,2,TRUE)</f>
        <v>Medium</v>
      </c>
      <c r="O60" s="20"/>
      <c r="P60" s="1" t="s">
        <v>1878</v>
      </c>
      <c r="Q60" s="1" t="s">
        <v>1854</v>
      </c>
      <c r="R60" s="1" t="s">
        <v>1821</v>
      </c>
      <c r="S60" s="1" t="s">
        <v>1816</v>
      </c>
      <c r="T60" s="1" t="s">
        <v>1834</v>
      </c>
      <c r="X60" t="s">
        <v>1152</v>
      </c>
      <c r="AA60">
        <v>4.8</v>
      </c>
      <c r="AB60" t="s">
        <v>1853</v>
      </c>
    </row>
    <row r="61" spans="1:28" x14ac:dyDescent="0.2">
      <c r="A61" s="1" t="s">
        <v>268</v>
      </c>
      <c r="B61" s="1" t="s">
        <v>269</v>
      </c>
      <c r="C61" s="1" t="s">
        <v>208</v>
      </c>
      <c r="D61" s="1" t="s">
        <v>209</v>
      </c>
      <c r="E61" s="1" t="s">
        <v>270</v>
      </c>
      <c r="F61" s="13" t="s">
        <v>271</v>
      </c>
      <c r="G61" s="94" t="s">
        <v>936</v>
      </c>
      <c r="H61" s="25" t="s">
        <v>1943</v>
      </c>
      <c r="I61" s="26">
        <v>358</v>
      </c>
      <c r="J61" s="27" t="s">
        <v>2103</v>
      </c>
      <c r="K61" s="33">
        <v>0.71399999999999997</v>
      </c>
      <c r="L61" s="20" t="str">
        <f>VLOOKUP(I61,'HSL categorization'!$A$2:$B$49,2,1)</f>
        <v>Amaranth</v>
      </c>
      <c r="M61" s="20"/>
      <c r="N61" s="20" t="str">
        <f>VLOOKUP(VALUE(K61),'HSL categorization'!D:E,2,TRUE)</f>
        <v>Light</v>
      </c>
      <c r="O61" s="20"/>
      <c r="P61" s="1" t="s">
        <v>1878</v>
      </c>
      <c r="Q61" s="1" t="s">
        <v>1854</v>
      </c>
      <c r="R61" s="1" t="s">
        <v>1821</v>
      </c>
      <c r="S61" s="1" t="s">
        <v>1816</v>
      </c>
      <c r="T61" s="1" t="s">
        <v>1834</v>
      </c>
      <c r="X61" t="s">
        <v>1152</v>
      </c>
      <c r="AA61">
        <v>4.8</v>
      </c>
      <c r="AB61" t="s">
        <v>1853</v>
      </c>
    </row>
    <row r="62" spans="1:28" x14ac:dyDescent="0.2">
      <c r="A62" s="1" t="s">
        <v>272</v>
      </c>
      <c r="B62" s="1" t="s">
        <v>273</v>
      </c>
      <c r="C62" s="1" t="s">
        <v>208</v>
      </c>
      <c r="D62" s="1" t="s">
        <v>209</v>
      </c>
      <c r="E62" s="1" t="s">
        <v>274</v>
      </c>
      <c r="F62" s="13" t="s">
        <v>275</v>
      </c>
      <c r="G62" s="95" t="s">
        <v>937</v>
      </c>
      <c r="H62" s="25" t="s">
        <v>1944</v>
      </c>
      <c r="I62" s="26">
        <v>348</v>
      </c>
      <c r="J62" s="27" t="s">
        <v>2103</v>
      </c>
      <c r="K62" s="33">
        <v>0.70799999999999996</v>
      </c>
      <c r="L62" s="20" t="str">
        <f>VLOOKUP(I62,'HSL categorization'!$A$2:$B$49,2,1)</f>
        <v>Crimson</v>
      </c>
      <c r="M62" s="20"/>
      <c r="N62" s="20" t="str">
        <f>VLOOKUP(VALUE(K62),'HSL categorization'!D:E,2,TRUE)</f>
        <v>Light</v>
      </c>
      <c r="O62" s="20"/>
      <c r="P62" s="1" t="s">
        <v>1878</v>
      </c>
      <c r="Q62" s="1" t="s">
        <v>1854</v>
      </c>
      <c r="R62" s="1" t="s">
        <v>1821</v>
      </c>
      <c r="S62" s="1" t="s">
        <v>1816</v>
      </c>
      <c r="T62" s="1" t="s">
        <v>1834</v>
      </c>
      <c r="X62" t="s">
        <v>1152</v>
      </c>
      <c r="AA62">
        <v>4.8</v>
      </c>
      <c r="AB62" t="s">
        <v>1853</v>
      </c>
    </row>
    <row r="63" spans="1:28" x14ac:dyDescent="0.2">
      <c r="A63" s="1" t="s">
        <v>276</v>
      </c>
      <c r="B63" s="1" t="s">
        <v>277</v>
      </c>
      <c r="C63" s="1" t="s">
        <v>208</v>
      </c>
      <c r="D63" s="1" t="s">
        <v>209</v>
      </c>
      <c r="E63" s="1" t="s">
        <v>278</v>
      </c>
      <c r="F63" s="13" t="s">
        <v>279</v>
      </c>
      <c r="G63" s="96" t="s">
        <v>938</v>
      </c>
      <c r="H63" s="25" t="s">
        <v>1945</v>
      </c>
      <c r="I63" s="26">
        <v>6</v>
      </c>
      <c r="J63" s="27" t="s">
        <v>2127</v>
      </c>
      <c r="K63" s="33">
        <v>0.64300000000000002</v>
      </c>
      <c r="L63" s="20" t="str">
        <f>VLOOKUP(I63,'HSL categorization'!$A$2:$B$49,2,1)</f>
        <v>Red</v>
      </c>
      <c r="M63" s="20"/>
      <c r="N63" s="20" t="str">
        <f>VLOOKUP(VALUE(K63),'HSL categorization'!D:E,2,TRUE)</f>
        <v>Medium</v>
      </c>
      <c r="O63" s="20"/>
      <c r="P63" s="1" t="s">
        <v>1878</v>
      </c>
      <c r="Q63" s="1" t="s">
        <v>1854</v>
      </c>
      <c r="R63" s="1" t="s">
        <v>1821</v>
      </c>
      <c r="S63" s="1" t="s">
        <v>1816</v>
      </c>
      <c r="T63" s="1" t="s">
        <v>1834</v>
      </c>
      <c r="X63" t="s">
        <v>1152</v>
      </c>
      <c r="AA63">
        <v>4.8</v>
      </c>
      <c r="AB63" t="s">
        <v>1853</v>
      </c>
    </row>
    <row r="64" spans="1:28" x14ac:dyDescent="0.2">
      <c r="A64" s="1" t="s">
        <v>280</v>
      </c>
      <c r="B64" s="1" t="s">
        <v>281</v>
      </c>
      <c r="C64" s="1" t="s">
        <v>208</v>
      </c>
      <c r="D64" s="1" t="s">
        <v>209</v>
      </c>
      <c r="E64" s="1" t="s">
        <v>282</v>
      </c>
      <c r="F64" s="13" t="s">
        <v>283</v>
      </c>
      <c r="G64" s="97" t="s">
        <v>939</v>
      </c>
      <c r="H64" s="25" t="s">
        <v>1946</v>
      </c>
      <c r="I64" s="26">
        <v>355</v>
      </c>
      <c r="J64" s="27" t="s">
        <v>2103</v>
      </c>
      <c r="K64" s="33">
        <v>0.64900000000000002</v>
      </c>
      <c r="L64" s="20" t="str">
        <f>VLOOKUP(I64,'HSL categorization'!$A$2:$B$49,2,1)</f>
        <v>Amaranth</v>
      </c>
      <c r="M64" s="20"/>
      <c r="N64" s="20" t="str">
        <f>VLOOKUP(VALUE(K64),'HSL categorization'!D:E,2,TRUE)</f>
        <v>Medium</v>
      </c>
      <c r="O64" s="20"/>
      <c r="P64" s="1" t="s">
        <v>1878</v>
      </c>
      <c r="Q64" s="1" t="s">
        <v>1854</v>
      </c>
      <c r="R64" s="1" t="s">
        <v>1821</v>
      </c>
      <c r="S64" s="1" t="s">
        <v>1816</v>
      </c>
      <c r="T64" s="1" t="s">
        <v>1834</v>
      </c>
      <c r="X64" t="s">
        <v>1152</v>
      </c>
      <c r="AA64">
        <v>4.8</v>
      </c>
      <c r="AB64" t="s">
        <v>1853</v>
      </c>
    </row>
    <row r="65" spans="1:28" x14ac:dyDescent="0.2">
      <c r="A65" s="1" t="s">
        <v>284</v>
      </c>
      <c r="B65" s="1" t="s">
        <v>285</v>
      </c>
      <c r="C65" s="1" t="s">
        <v>208</v>
      </c>
      <c r="D65" s="1" t="s">
        <v>209</v>
      </c>
      <c r="E65" s="1" t="s">
        <v>286</v>
      </c>
      <c r="F65" s="13" t="s">
        <v>287</v>
      </c>
      <c r="G65" s="98" t="s">
        <v>940</v>
      </c>
      <c r="H65" s="25" t="s">
        <v>1947</v>
      </c>
      <c r="I65" s="26">
        <v>358</v>
      </c>
      <c r="J65" s="27" t="s">
        <v>2128</v>
      </c>
      <c r="K65" s="33">
        <v>0.56899999999999995</v>
      </c>
      <c r="L65" s="20" t="str">
        <f>VLOOKUP(I65,'HSL categorization'!$A$2:$B$49,2,1)</f>
        <v>Amaranth</v>
      </c>
      <c r="M65" s="20"/>
      <c r="N65" s="20" t="str">
        <f>VLOOKUP(VALUE(K65),'HSL categorization'!D:E,2,TRUE)</f>
        <v>Medium</v>
      </c>
      <c r="O65" s="20"/>
      <c r="P65" s="1" t="s">
        <v>1878</v>
      </c>
      <c r="Q65" s="1" t="s">
        <v>1854</v>
      </c>
      <c r="R65" s="1" t="s">
        <v>1821</v>
      </c>
      <c r="S65" s="1" t="s">
        <v>1816</v>
      </c>
      <c r="T65" s="1" t="s">
        <v>1834</v>
      </c>
      <c r="X65" t="s">
        <v>1152</v>
      </c>
      <c r="AA65">
        <v>4.8</v>
      </c>
      <c r="AB65" t="s">
        <v>1853</v>
      </c>
    </row>
    <row r="66" spans="1:28" x14ac:dyDescent="0.2">
      <c r="A66" s="1" t="s">
        <v>288</v>
      </c>
      <c r="B66" s="1" t="s">
        <v>289</v>
      </c>
      <c r="C66" s="1" t="s">
        <v>290</v>
      </c>
      <c r="D66" s="1" t="s">
        <v>291</v>
      </c>
      <c r="E66" s="1" t="s">
        <v>292</v>
      </c>
      <c r="F66" s="13" t="s">
        <v>293</v>
      </c>
      <c r="G66" s="99" t="s">
        <v>892</v>
      </c>
      <c r="H66" s="25" t="s">
        <v>1948</v>
      </c>
      <c r="I66" s="26">
        <v>250</v>
      </c>
      <c r="J66" s="27" t="s">
        <v>2129</v>
      </c>
      <c r="K66" s="33">
        <v>0.19600000000000001</v>
      </c>
      <c r="L66" s="20" t="str">
        <f>VLOOKUP(I66,'HSL categorization'!$A$2:$B$49,2,1)</f>
        <v>Persian blue</v>
      </c>
      <c r="M66" s="20"/>
      <c r="N66" s="20" t="str">
        <f>VLOOKUP(VALUE(K66),'HSL categorization'!D:E,2,TRUE)</f>
        <v>Dark</v>
      </c>
      <c r="O66" s="20"/>
      <c r="P66" s="1" t="s">
        <v>1879</v>
      </c>
      <c r="Q66" s="1" t="s">
        <v>1840</v>
      </c>
      <c r="R66" s="1" t="s">
        <v>1821</v>
      </c>
      <c r="T66" s="1" t="s">
        <v>1834</v>
      </c>
      <c r="X66" t="s">
        <v>1852</v>
      </c>
      <c r="AA66">
        <v>3.8</v>
      </c>
      <c r="AB66" t="s">
        <v>1844</v>
      </c>
    </row>
    <row r="67" spans="1:28" x14ac:dyDescent="0.2">
      <c r="A67" s="1" t="s">
        <v>294</v>
      </c>
      <c r="B67" s="1" t="s">
        <v>295</v>
      </c>
      <c r="C67" s="1" t="s">
        <v>290</v>
      </c>
      <c r="D67" s="1" t="s">
        <v>291</v>
      </c>
      <c r="E67" s="1" t="s">
        <v>296</v>
      </c>
      <c r="F67" s="13" t="s">
        <v>297</v>
      </c>
      <c r="G67" s="100" t="s">
        <v>893</v>
      </c>
      <c r="H67" s="25" t="s">
        <v>1949</v>
      </c>
      <c r="I67" s="26">
        <v>213</v>
      </c>
      <c r="J67" s="27" t="s">
        <v>2130</v>
      </c>
      <c r="K67" s="33">
        <v>0.29199999999999998</v>
      </c>
      <c r="L67" s="20" t="str">
        <f>VLOOKUP(I67,'HSL categorization'!$A$2:$B$49,2,1)</f>
        <v>Azure</v>
      </c>
      <c r="M67" s="20"/>
      <c r="N67" s="20" t="str">
        <f>VLOOKUP(VALUE(K67),'HSL categorization'!D:E,2,TRUE)</f>
        <v>Dark</v>
      </c>
      <c r="O67" s="20"/>
      <c r="P67" s="1" t="s">
        <v>1879</v>
      </c>
      <c r="Q67" s="1" t="s">
        <v>1840</v>
      </c>
      <c r="R67" s="1" t="s">
        <v>1821</v>
      </c>
      <c r="T67" s="1" t="s">
        <v>1834</v>
      </c>
      <c r="X67" t="s">
        <v>1852</v>
      </c>
      <c r="AA67">
        <v>3.8</v>
      </c>
      <c r="AB67" t="s">
        <v>1844</v>
      </c>
    </row>
    <row r="68" spans="1:28" x14ac:dyDescent="0.2">
      <c r="A68" s="1" t="s">
        <v>298</v>
      </c>
      <c r="B68" s="1" t="s">
        <v>299</v>
      </c>
      <c r="C68" s="1" t="s">
        <v>290</v>
      </c>
      <c r="D68" s="1" t="s">
        <v>291</v>
      </c>
      <c r="E68" s="1" t="s">
        <v>300</v>
      </c>
      <c r="F68" s="13" t="s">
        <v>301</v>
      </c>
      <c r="G68" s="101" t="s">
        <v>894</v>
      </c>
      <c r="H68" s="25" t="s">
        <v>1950</v>
      </c>
      <c r="I68" s="26">
        <v>355</v>
      </c>
      <c r="J68" s="27" t="s">
        <v>2131</v>
      </c>
      <c r="K68" s="33">
        <v>0.31</v>
      </c>
      <c r="L68" s="20" t="str">
        <f>VLOOKUP(I68,'HSL categorization'!$A$2:$B$49,2,1)</f>
        <v>Amaranth</v>
      </c>
      <c r="M68" s="20"/>
      <c r="N68" s="20" t="str">
        <f>VLOOKUP(VALUE(K68),'HSL categorization'!D:E,2,TRUE)</f>
        <v>Dark</v>
      </c>
      <c r="O68" s="20"/>
      <c r="P68" s="1" t="s">
        <v>1879</v>
      </c>
      <c r="Q68" s="1" t="s">
        <v>1840</v>
      </c>
      <c r="R68" s="1" t="s">
        <v>1821</v>
      </c>
      <c r="T68" s="1" t="s">
        <v>1834</v>
      </c>
      <c r="X68" t="s">
        <v>1852</v>
      </c>
      <c r="AA68">
        <v>3.8</v>
      </c>
      <c r="AB68" t="s">
        <v>1844</v>
      </c>
    </row>
    <row r="69" spans="1:28" x14ac:dyDescent="0.2">
      <c r="A69" s="1" t="s">
        <v>302</v>
      </c>
      <c r="B69" s="1" t="s">
        <v>303</v>
      </c>
      <c r="C69" s="1" t="s">
        <v>304</v>
      </c>
      <c r="D69" s="1" t="s">
        <v>305</v>
      </c>
      <c r="E69" s="1" t="s">
        <v>306</v>
      </c>
      <c r="F69" s="13" t="s">
        <v>307</v>
      </c>
      <c r="G69" s="102" t="s">
        <v>904</v>
      </c>
      <c r="H69" s="25" t="s">
        <v>1951</v>
      </c>
      <c r="I69" s="26">
        <v>0</v>
      </c>
      <c r="J69" s="28">
        <v>0</v>
      </c>
      <c r="K69" s="33">
        <v>1</v>
      </c>
      <c r="L69" s="20" t="str">
        <f>VLOOKUP(I69,'HSL categorization'!$A$2:$B$49,2,1)</f>
        <v>Red</v>
      </c>
      <c r="M69" s="20"/>
      <c r="N69" s="20" t="str">
        <f>VLOOKUP(VALUE(K69),'HSL categorization'!D:E,2,TRUE)</f>
        <v>Light</v>
      </c>
      <c r="O69" s="20"/>
      <c r="P69" s="1" t="s">
        <v>1879</v>
      </c>
      <c r="Q69" s="1" t="s">
        <v>1865</v>
      </c>
      <c r="R69" s="1" t="s">
        <v>1821</v>
      </c>
      <c r="T69" s="1" t="s">
        <v>1830</v>
      </c>
      <c r="X69" t="s">
        <v>1152</v>
      </c>
      <c r="AA69" t="s">
        <v>1842</v>
      </c>
      <c r="AB69" t="s">
        <v>1866</v>
      </c>
    </row>
    <row r="70" spans="1:28" x14ac:dyDescent="0.2">
      <c r="A70" s="1" t="s">
        <v>308</v>
      </c>
      <c r="B70" s="1" t="s">
        <v>309</v>
      </c>
      <c r="C70" s="1" t="s">
        <v>304</v>
      </c>
      <c r="D70" s="1" t="s">
        <v>305</v>
      </c>
      <c r="E70" s="1" t="s">
        <v>310</v>
      </c>
      <c r="F70" s="13" t="s">
        <v>311</v>
      </c>
      <c r="G70" s="103" t="s">
        <v>905</v>
      </c>
      <c r="H70" s="25" t="s">
        <v>1952</v>
      </c>
      <c r="I70" s="26">
        <v>26</v>
      </c>
      <c r="J70" s="27" t="s">
        <v>2132</v>
      </c>
      <c r="K70" s="33">
        <v>0.61599999999999999</v>
      </c>
      <c r="L70" s="20" t="str">
        <f>VLOOKUP(I70,'HSL categorization'!$A$2:$B$49,2,1)</f>
        <v>Tangelo</v>
      </c>
      <c r="M70" s="20"/>
      <c r="N70" s="20" t="str">
        <f>VLOOKUP(VALUE(K70),'HSL categorization'!D:E,2,TRUE)</f>
        <v>Medium</v>
      </c>
      <c r="O70" s="20"/>
      <c r="P70" s="1" t="s">
        <v>1879</v>
      </c>
      <c r="Q70" s="1" t="s">
        <v>1865</v>
      </c>
      <c r="R70" s="1" t="s">
        <v>1821</v>
      </c>
      <c r="T70" s="1" t="s">
        <v>1830</v>
      </c>
      <c r="X70" t="s">
        <v>1152</v>
      </c>
      <c r="AA70" t="s">
        <v>1842</v>
      </c>
      <c r="AB70" t="s">
        <v>1867</v>
      </c>
    </row>
    <row r="71" spans="1:28" x14ac:dyDescent="0.2">
      <c r="A71" s="1" t="s">
        <v>312</v>
      </c>
      <c r="B71" s="1" t="s">
        <v>313</v>
      </c>
      <c r="C71" s="1" t="s">
        <v>314</v>
      </c>
      <c r="D71" s="1" t="s">
        <v>315</v>
      </c>
      <c r="E71" s="1" t="s">
        <v>316</v>
      </c>
      <c r="F71" s="13" t="s">
        <v>317</v>
      </c>
      <c r="G71" s="104" t="s">
        <v>886</v>
      </c>
      <c r="H71" s="25" t="s">
        <v>1953</v>
      </c>
      <c r="I71" s="26">
        <v>7</v>
      </c>
      <c r="J71" s="27" t="s">
        <v>2133</v>
      </c>
      <c r="K71" s="33">
        <v>0.625</v>
      </c>
      <c r="L71" s="20" t="str">
        <f>VLOOKUP(I71,'HSL categorization'!$A$2:$B$49,2,1)</f>
        <v>Red</v>
      </c>
      <c r="M71" s="20"/>
      <c r="N71" s="20" t="str">
        <f>VLOOKUP(VALUE(K71),'HSL categorization'!D:E,2,TRUE)</f>
        <v>Medium</v>
      </c>
      <c r="O71" s="20"/>
      <c r="P71" s="1" t="s">
        <v>1877</v>
      </c>
      <c r="Q71" s="1" t="s">
        <v>1826</v>
      </c>
      <c r="R71" s="1" t="s">
        <v>1821</v>
      </c>
      <c r="S71" s="1" t="s">
        <v>1823</v>
      </c>
      <c r="T71" s="1" t="s">
        <v>1834</v>
      </c>
      <c r="X71" t="s">
        <v>1152</v>
      </c>
      <c r="AA71" t="s">
        <v>1842</v>
      </c>
      <c r="AB71" t="s">
        <v>1868</v>
      </c>
    </row>
    <row r="72" spans="1:28" x14ac:dyDescent="0.2">
      <c r="A72" s="1" t="s">
        <v>318</v>
      </c>
      <c r="B72" s="1" t="s">
        <v>319</v>
      </c>
      <c r="C72" s="1" t="s">
        <v>314</v>
      </c>
      <c r="D72" s="1" t="s">
        <v>315</v>
      </c>
      <c r="E72" s="1" t="s">
        <v>320</v>
      </c>
      <c r="F72" s="13" t="s">
        <v>321</v>
      </c>
      <c r="G72" s="105" t="s">
        <v>887</v>
      </c>
      <c r="H72" s="25" t="s">
        <v>1954</v>
      </c>
      <c r="I72" s="26">
        <v>359</v>
      </c>
      <c r="J72" s="27" t="s">
        <v>2134</v>
      </c>
      <c r="K72" s="33">
        <v>0.60599999999999998</v>
      </c>
      <c r="L72" s="20" t="str">
        <f>VLOOKUP(I72,'HSL categorization'!$A$2:$B$49,2,1)</f>
        <v>Amaranth</v>
      </c>
      <c r="M72" s="20"/>
      <c r="N72" s="20" t="str">
        <f>VLOOKUP(VALUE(K72),'HSL categorization'!D:E,2,TRUE)</f>
        <v>Medium</v>
      </c>
      <c r="O72" s="20"/>
      <c r="P72" s="1" t="s">
        <v>1877</v>
      </c>
      <c r="Q72" s="1" t="s">
        <v>1826</v>
      </c>
      <c r="R72" s="1" t="s">
        <v>1821</v>
      </c>
      <c r="S72" s="1" t="s">
        <v>1823</v>
      </c>
      <c r="T72" s="1" t="s">
        <v>1834</v>
      </c>
      <c r="X72" t="s">
        <v>1152</v>
      </c>
      <c r="AA72" t="s">
        <v>1842</v>
      </c>
      <c r="AB72" t="s">
        <v>1868</v>
      </c>
    </row>
    <row r="73" spans="1:28" x14ac:dyDescent="0.2">
      <c r="A73" s="1" t="s">
        <v>322</v>
      </c>
      <c r="B73" s="1" t="s">
        <v>323</v>
      </c>
      <c r="C73" s="1" t="s">
        <v>314</v>
      </c>
      <c r="D73" s="1" t="s">
        <v>315</v>
      </c>
      <c r="E73" s="1" t="s">
        <v>324</v>
      </c>
      <c r="F73" s="13" t="s">
        <v>325</v>
      </c>
      <c r="G73" s="106" t="s">
        <v>888</v>
      </c>
      <c r="H73" s="25" t="s">
        <v>1955</v>
      </c>
      <c r="I73" s="26">
        <v>346</v>
      </c>
      <c r="J73" s="27" t="s">
        <v>2135</v>
      </c>
      <c r="K73" s="33">
        <v>0.64900000000000002</v>
      </c>
      <c r="L73" s="20" t="str">
        <f>VLOOKUP(I73,'HSL categorization'!$A$2:$B$49,2,1)</f>
        <v>Crimson</v>
      </c>
      <c r="M73" s="20"/>
      <c r="N73" s="20" t="str">
        <f>VLOOKUP(VALUE(K73),'HSL categorization'!D:E,2,TRUE)</f>
        <v>Medium</v>
      </c>
      <c r="O73" s="20"/>
      <c r="P73" s="1" t="s">
        <v>1877</v>
      </c>
      <c r="Q73" s="1" t="s">
        <v>1826</v>
      </c>
      <c r="R73" s="1" t="s">
        <v>1821</v>
      </c>
      <c r="S73" s="1" t="s">
        <v>1823</v>
      </c>
      <c r="T73" s="1" t="s">
        <v>1834</v>
      </c>
      <c r="X73" t="s">
        <v>1152</v>
      </c>
      <c r="AA73" t="s">
        <v>1842</v>
      </c>
      <c r="AB73" t="s">
        <v>1868</v>
      </c>
    </row>
    <row r="74" spans="1:28" x14ac:dyDescent="0.2">
      <c r="A74" s="1" t="s">
        <v>326</v>
      </c>
      <c r="B74" s="1" t="s">
        <v>327</v>
      </c>
      <c r="C74" s="1" t="s">
        <v>328</v>
      </c>
      <c r="D74" s="1" t="s">
        <v>329</v>
      </c>
      <c r="E74" s="1" t="s">
        <v>330</v>
      </c>
      <c r="F74" s="13" t="s">
        <v>331</v>
      </c>
      <c r="G74" s="107" t="s">
        <v>979</v>
      </c>
      <c r="H74" s="25" t="s">
        <v>1956</v>
      </c>
      <c r="I74" s="26">
        <v>355</v>
      </c>
      <c r="J74" s="27" t="s">
        <v>2103</v>
      </c>
      <c r="K74" s="33">
        <v>0.58599999999999997</v>
      </c>
      <c r="L74" s="20" t="str">
        <f>VLOOKUP(I74,'HSL categorization'!$A$2:$B$49,2,1)</f>
        <v>Amaranth</v>
      </c>
      <c r="M74" s="20"/>
      <c r="N74" s="20" t="str">
        <f>VLOOKUP(VALUE(K74),'HSL categorization'!D:E,2,TRUE)</f>
        <v>Medium</v>
      </c>
      <c r="O74" s="20"/>
      <c r="P74" s="1" t="s">
        <v>1878</v>
      </c>
      <c r="Q74" s="1" t="s">
        <v>1854</v>
      </c>
      <c r="R74" s="1" t="s">
        <v>1821</v>
      </c>
      <c r="S74" s="1" t="s">
        <v>1869</v>
      </c>
      <c r="T74" s="1" t="s">
        <v>1834</v>
      </c>
      <c r="X74" t="s">
        <v>1852</v>
      </c>
      <c r="AA74">
        <v>4.5999999999999996</v>
      </c>
      <c r="AB74" t="s">
        <v>1870</v>
      </c>
    </row>
    <row r="75" spans="1:28" x14ac:dyDescent="0.2">
      <c r="A75" s="1" t="s">
        <v>332</v>
      </c>
      <c r="B75" s="1" t="s">
        <v>333</v>
      </c>
      <c r="C75" s="1" t="s">
        <v>328</v>
      </c>
      <c r="D75" s="1" t="s">
        <v>329</v>
      </c>
      <c r="E75" s="1" t="s">
        <v>334</v>
      </c>
      <c r="F75" s="13" t="s">
        <v>335</v>
      </c>
      <c r="G75" s="108" t="s">
        <v>980</v>
      </c>
      <c r="H75" s="25" t="s">
        <v>1957</v>
      </c>
      <c r="I75" s="26">
        <v>339</v>
      </c>
      <c r="J75" s="27" t="s">
        <v>2103</v>
      </c>
      <c r="K75" s="33">
        <v>0.498</v>
      </c>
      <c r="L75" s="20" t="str">
        <f>VLOOKUP(I75,'HSL categorization'!$A$2:$B$49,2,1)</f>
        <v>Raspberry</v>
      </c>
      <c r="M75" s="20"/>
      <c r="N75" s="20" t="str">
        <f>VLOOKUP(VALUE(K75),'HSL categorization'!D:E,2,TRUE)</f>
        <v>Medium</v>
      </c>
      <c r="O75" s="20"/>
      <c r="P75" s="1" t="s">
        <v>1878</v>
      </c>
      <c r="Q75" s="1" t="s">
        <v>1854</v>
      </c>
      <c r="R75" s="1" t="s">
        <v>1821</v>
      </c>
      <c r="S75" s="1" t="s">
        <v>1869</v>
      </c>
      <c r="T75" s="1" t="s">
        <v>1834</v>
      </c>
      <c r="X75" t="s">
        <v>1852</v>
      </c>
      <c r="AA75">
        <v>4.5999999999999996</v>
      </c>
      <c r="AB75" t="s">
        <v>1870</v>
      </c>
    </row>
    <row r="76" spans="1:28" x14ac:dyDescent="0.2">
      <c r="A76" s="1" t="s">
        <v>336</v>
      </c>
      <c r="B76" s="1" t="s">
        <v>337</v>
      </c>
      <c r="C76" s="1" t="s">
        <v>328</v>
      </c>
      <c r="D76" s="1" t="s">
        <v>329</v>
      </c>
      <c r="E76" s="1" t="s">
        <v>338</v>
      </c>
      <c r="F76" s="13" t="s">
        <v>339</v>
      </c>
      <c r="G76" s="109" t="s">
        <v>981</v>
      </c>
      <c r="H76" s="25" t="s">
        <v>1958</v>
      </c>
      <c r="I76" s="26">
        <v>352</v>
      </c>
      <c r="J76" s="27" t="s">
        <v>2136</v>
      </c>
      <c r="K76" s="33">
        <v>0.629</v>
      </c>
      <c r="L76" s="20" t="str">
        <f>VLOOKUP(I76,'HSL categorization'!$A$2:$B$49,2,1)</f>
        <v>Crimson</v>
      </c>
      <c r="M76" s="20"/>
      <c r="N76" s="20" t="str">
        <f>VLOOKUP(VALUE(K76),'HSL categorization'!D:E,2,TRUE)</f>
        <v>Medium</v>
      </c>
      <c r="O76" s="20"/>
      <c r="P76" s="1" t="s">
        <v>1878</v>
      </c>
      <c r="Q76" s="1" t="s">
        <v>1854</v>
      </c>
      <c r="R76" s="1" t="s">
        <v>1821</v>
      </c>
      <c r="S76" s="1" t="s">
        <v>1869</v>
      </c>
      <c r="T76" s="1" t="s">
        <v>1834</v>
      </c>
      <c r="X76" t="s">
        <v>1852</v>
      </c>
      <c r="AA76">
        <v>4.5999999999999996</v>
      </c>
      <c r="AB76" t="s">
        <v>1870</v>
      </c>
    </row>
    <row r="77" spans="1:28" x14ac:dyDescent="0.2">
      <c r="A77" s="1" t="s">
        <v>340</v>
      </c>
      <c r="B77" s="1" t="s">
        <v>341</v>
      </c>
      <c r="C77" s="1" t="s">
        <v>328</v>
      </c>
      <c r="D77" s="1" t="s">
        <v>329</v>
      </c>
      <c r="E77" s="1" t="s">
        <v>342</v>
      </c>
      <c r="F77" s="13" t="s">
        <v>343</v>
      </c>
      <c r="G77" s="110" t="s">
        <v>982</v>
      </c>
      <c r="H77" s="25" t="s">
        <v>1959</v>
      </c>
      <c r="I77" s="26">
        <v>0</v>
      </c>
      <c r="J77" s="27" t="s">
        <v>2103</v>
      </c>
      <c r="K77" s="33">
        <v>0.47299999999999998</v>
      </c>
      <c r="L77" s="20" t="str">
        <f>VLOOKUP(I77,'HSL categorization'!$A$2:$B$49,2,1)</f>
        <v>Red</v>
      </c>
      <c r="M77" s="20"/>
      <c r="N77" s="20" t="str">
        <f>VLOOKUP(VALUE(K77),'HSL categorization'!D:E,2,TRUE)</f>
        <v>Medium</v>
      </c>
      <c r="O77" s="20"/>
      <c r="P77" s="1" t="s">
        <v>1878</v>
      </c>
      <c r="Q77" s="1" t="s">
        <v>1854</v>
      </c>
      <c r="R77" s="1" t="s">
        <v>1821</v>
      </c>
      <c r="S77" s="1" t="s">
        <v>1869</v>
      </c>
      <c r="T77" s="1" t="s">
        <v>1834</v>
      </c>
      <c r="X77" t="s">
        <v>1852</v>
      </c>
      <c r="AA77">
        <v>4.5999999999999996</v>
      </c>
      <c r="AB77" t="s">
        <v>1870</v>
      </c>
    </row>
    <row r="78" spans="1:28" x14ac:dyDescent="0.2">
      <c r="A78" s="1" t="s">
        <v>344</v>
      </c>
      <c r="B78" s="1" t="s">
        <v>345</v>
      </c>
      <c r="C78" s="1" t="s">
        <v>328</v>
      </c>
      <c r="D78" s="1" t="s">
        <v>329</v>
      </c>
      <c r="E78" s="1" t="s">
        <v>346</v>
      </c>
      <c r="F78" s="13" t="s">
        <v>347</v>
      </c>
      <c r="G78" s="111" t="s">
        <v>983</v>
      </c>
      <c r="H78" s="25" t="s">
        <v>1960</v>
      </c>
      <c r="I78" s="26">
        <v>345</v>
      </c>
      <c r="J78" s="27" t="s">
        <v>2137</v>
      </c>
      <c r="K78" s="33">
        <v>0.66900000000000004</v>
      </c>
      <c r="L78" s="20" t="str">
        <f>VLOOKUP(I78,'HSL categorization'!$A$2:$B$49,2,1)</f>
        <v>Crimson</v>
      </c>
      <c r="M78" s="20"/>
      <c r="N78" s="20" t="str">
        <f>VLOOKUP(VALUE(K78),'HSL categorization'!D:E,2,TRUE)</f>
        <v>Medium</v>
      </c>
      <c r="O78" s="20"/>
      <c r="P78" s="1" t="s">
        <v>1878</v>
      </c>
      <c r="Q78" s="1" t="s">
        <v>1854</v>
      </c>
      <c r="R78" s="1" t="s">
        <v>1821</v>
      </c>
      <c r="S78" s="1" t="s">
        <v>1869</v>
      </c>
      <c r="T78" s="1" t="s">
        <v>1834</v>
      </c>
      <c r="X78" t="s">
        <v>1852</v>
      </c>
      <c r="AA78">
        <v>4.5999999999999996</v>
      </c>
      <c r="AB78" t="s">
        <v>1870</v>
      </c>
    </row>
    <row r="79" spans="1:28" x14ac:dyDescent="0.2">
      <c r="A79" s="1" t="s">
        <v>348</v>
      </c>
      <c r="B79" s="1" t="s">
        <v>349</v>
      </c>
      <c r="C79" s="1" t="s">
        <v>328</v>
      </c>
      <c r="D79" s="1" t="s">
        <v>329</v>
      </c>
      <c r="E79" s="1" t="s">
        <v>350</v>
      </c>
      <c r="F79" s="13" t="s">
        <v>351</v>
      </c>
      <c r="G79" s="112" t="s">
        <v>984</v>
      </c>
      <c r="H79" s="25" t="s">
        <v>1961</v>
      </c>
      <c r="I79" s="26">
        <v>353</v>
      </c>
      <c r="J79" s="27" t="s">
        <v>2125</v>
      </c>
      <c r="K79" s="33">
        <v>0.66100000000000003</v>
      </c>
      <c r="L79" s="20" t="str">
        <f>VLOOKUP(I79,'HSL categorization'!$A$2:$B$49,2,1)</f>
        <v>Amaranth</v>
      </c>
      <c r="M79" s="20"/>
      <c r="N79" s="20" t="str">
        <f>VLOOKUP(VALUE(K79),'HSL categorization'!D:E,2,TRUE)</f>
        <v>Medium</v>
      </c>
      <c r="O79" s="20"/>
      <c r="P79" s="1" t="s">
        <v>1878</v>
      </c>
      <c r="Q79" s="1" t="s">
        <v>1854</v>
      </c>
      <c r="R79" s="1" t="s">
        <v>1821</v>
      </c>
      <c r="S79" s="1" t="s">
        <v>1869</v>
      </c>
      <c r="T79" s="1" t="s">
        <v>1834</v>
      </c>
      <c r="X79" t="s">
        <v>1852</v>
      </c>
      <c r="AA79">
        <v>4.5999999999999996</v>
      </c>
      <c r="AB79" t="s">
        <v>1870</v>
      </c>
    </row>
    <row r="80" spans="1:28" x14ac:dyDescent="0.2">
      <c r="A80" s="1" t="s">
        <v>352</v>
      </c>
      <c r="B80" s="1" t="s">
        <v>353</v>
      </c>
      <c r="C80" s="1" t="s">
        <v>328</v>
      </c>
      <c r="D80" s="1" t="s">
        <v>329</v>
      </c>
      <c r="E80" s="1" t="s">
        <v>354</v>
      </c>
      <c r="F80" s="13" t="s">
        <v>355</v>
      </c>
      <c r="G80" s="113" t="s">
        <v>985</v>
      </c>
      <c r="H80" s="25" t="s">
        <v>1962</v>
      </c>
      <c r="I80" s="26">
        <v>350</v>
      </c>
      <c r="J80" s="27" t="s">
        <v>2103</v>
      </c>
      <c r="K80" s="33">
        <v>0.498</v>
      </c>
      <c r="L80" s="20" t="str">
        <f>VLOOKUP(I80,'HSL categorization'!$A$2:$B$49,2,1)</f>
        <v>Crimson</v>
      </c>
      <c r="M80" s="20"/>
      <c r="N80" s="20" t="str">
        <f>VLOOKUP(VALUE(K80),'HSL categorization'!D:E,2,TRUE)</f>
        <v>Medium</v>
      </c>
      <c r="O80" s="20"/>
      <c r="P80" s="1" t="s">
        <v>1878</v>
      </c>
      <c r="Q80" s="1" t="s">
        <v>1854</v>
      </c>
      <c r="R80" s="1" t="s">
        <v>1821</v>
      </c>
      <c r="S80" s="1" t="s">
        <v>1869</v>
      </c>
      <c r="T80" s="1" t="s">
        <v>1834</v>
      </c>
      <c r="X80" t="s">
        <v>1852</v>
      </c>
      <c r="AA80">
        <v>4.5999999999999996</v>
      </c>
      <c r="AB80" t="s">
        <v>1870</v>
      </c>
    </row>
    <row r="81" spans="1:28" x14ac:dyDescent="0.2">
      <c r="A81" s="1" t="s">
        <v>356</v>
      </c>
      <c r="B81" s="1" t="s">
        <v>357</v>
      </c>
      <c r="C81" s="1" t="s">
        <v>328</v>
      </c>
      <c r="D81" s="1" t="s">
        <v>329</v>
      </c>
      <c r="E81" s="1" t="s">
        <v>358</v>
      </c>
      <c r="F81" s="13" t="s">
        <v>359</v>
      </c>
      <c r="G81" s="114" t="s">
        <v>986</v>
      </c>
      <c r="H81" s="25" t="s">
        <v>1963</v>
      </c>
      <c r="I81" s="26">
        <v>0</v>
      </c>
      <c r="J81" s="27" t="s">
        <v>2138</v>
      </c>
      <c r="K81" s="33">
        <v>0.60199999999999998</v>
      </c>
      <c r="L81" s="20" t="str">
        <f>VLOOKUP(I81,'HSL categorization'!$A$2:$B$49,2,1)</f>
        <v>Red</v>
      </c>
      <c r="M81" s="20"/>
      <c r="N81" s="20" t="str">
        <f>VLOOKUP(VALUE(K81),'HSL categorization'!D:E,2,TRUE)</f>
        <v>Medium</v>
      </c>
      <c r="O81" s="20"/>
      <c r="P81" s="1" t="s">
        <v>1878</v>
      </c>
      <c r="Q81" s="1" t="s">
        <v>1854</v>
      </c>
      <c r="R81" s="1" t="s">
        <v>1821</v>
      </c>
      <c r="S81" s="1" t="s">
        <v>1869</v>
      </c>
      <c r="T81" s="1" t="s">
        <v>1834</v>
      </c>
      <c r="X81" t="s">
        <v>1852</v>
      </c>
      <c r="AA81">
        <v>4.5999999999999996</v>
      </c>
      <c r="AB81" t="s">
        <v>1870</v>
      </c>
    </row>
    <row r="82" spans="1:28" x14ac:dyDescent="0.2">
      <c r="A82" s="1" t="s">
        <v>360</v>
      </c>
      <c r="B82" s="1" t="s">
        <v>361</v>
      </c>
      <c r="C82" s="1" t="s">
        <v>328</v>
      </c>
      <c r="D82" s="1" t="s">
        <v>329</v>
      </c>
      <c r="E82" s="1" t="s">
        <v>362</v>
      </c>
      <c r="F82" s="13" t="s">
        <v>363</v>
      </c>
      <c r="G82" s="115" t="s">
        <v>987</v>
      </c>
      <c r="H82" s="25" t="s">
        <v>1964</v>
      </c>
      <c r="I82" s="26">
        <v>353</v>
      </c>
      <c r="J82" s="27" t="s">
        <v>2103</v>
      </c>
      <c r="K82" s="33">
        <v>0.63100000000000001</v>
      </c>
      <c r="L82" s="20" t="str">
        <f>VLOOKUP(I82,'HSL categorization'!$A$2:$B$49,2,1)</f>
        <v>Amaranth</v>
      </c>
      <c r="M82" s="20"/>
      <c r="N82" s="20" t="str">
        <f>VLOOKUP(VALUE(K82),'HSL categorization'!D:E,2,TRUE)</f>
        <v>Medium</v>
      </c>
      <c r="O82" s="20"/>
      <c r="P82" s="1" t="s">
        <v>1878</v>
      </c>
      <c r="Q82" s="1" t="s">
        <v>1854</v>
      </c>
      <c r="R82" s="1" t="s">
        <v>1821</v>
      </c>
      <c r="S82" s="1" t="s">
        <v>1869</v>
      </c>
      <c r="T82" s="1" t="s">
        <v>1834</v>
      </c>
      <c r="X82" t="s">
        <v>1852</v>
      </c>
      <c r="AA82">
        <v>4.5999999999999996</v>
      </c>
      <c r="AB82" t="s">
        <v>1870</v>
      </c>
    </row>
    <row r="83" spans="1:28" x14ac:dyDescent="0.2">
      <c r="A83" s="1" t="s">
        <v>364</v>
      </c>
      <c r="B83" s="1" t="s">
        <v>365</v>
      </c>
      <c r="C83" s="1" t="s">
        <v>328</v>
      </c>
      <c r="D83" s="1" t="s">
        <v>329</v>
      </c>
      <c r="E83" s="1" t="s">
        <v>366</v>
      </c>
      <c r="F83" s="13" t="s">
        <v>367</v>
      </c>
      <c r="G83" s="116" t="s">
        <v>988</v>
      </c>
      <c r="H83" s="25" t="s">
        <v>1965</v>
      </c>
      <c r="I83" s="26">
        <v>359</v>
      </c>
      <c r="J83" s="27" t="s">
        <v>2103</v>
      </c>
      <c r="K83" s="33">
        <v>0.63300000000000001</v>
      </c>
      <c r="L83" s="20" t="str">
        <f>VLOOKUP(I83,'HSL categorization'!$A$2:$B$49,2,1)</f>
        <v>Amaranth</v>
      </c>
      <c r="M83" s="20"/>
      <c r="N83" s="20" t="str">
        <f>VLOOKUP(VALUE(K83),'HSL categorization'!D:E,2,TRUE)</f>
        <v>Medium</v>
      </c>
      <c r="O83" s="20"/>
      <c r="P83" s="1" t="s">
        <v>1878</v>
      </c>
      <c r="Q83" s="1" t="s">
        <v>1854</v>
      </c>
      <c r="R83" s="1" t="s">
        <v>1821</v>
      </c>
      <c r="S83" s="1" t="s">
        <v>1869</v>
      </c>
      <c r="T83" s="1" t="s">
        <v>1834</v>
      </c>
      <c r="X83" t="s">
        <v>1852</v>
      </c>
      <c r="AA83">
        <v>4.5999999999999996</v>
      </c>
      <c r="AB83" t="s">
        <v>1870</v>
      </c>
    </row>
    <row r="84" spans="1:28" x14ac:dyDescent="0.2">
      <c r="A84" s="1" t="s">
        <v>368</v>
      </c>
      <c r="B84" s="1" t="s">
        <v>369</v>
      </c>
      <c r="C84" s="1" t="s">
        <v>328</v>
      </c>
      <c r="D84" s="1" t="s">
        <v>329</v>
      </c>
      <c r="E84" s="1" t="s">
        <v>370</v>
      </c>
      <c r="F84" s="13" t="s">
        <v>371</v>
      </c>
      <c r="G84" s="117" t="s">
        <v>989</v>
      </c>
      <c r="H84" s="25" t="s">
        <v>1966</v>
      </c>
      <c r="I84" s="26">
        <v>13</v>
      </c>
      <c r="J84" s="27" t="s">
        <v>2103</v>
      </c>
      <c r="K84" s="33">
        <v>0.5</v>
      </c>
      <c r="L84" s="20" t="str">
        <f>VLOOKUP(I84,'HSL categorization'!$A$2:$B$49,2,1)</f>
        <v>Scarlet</v>
      </c>
      <c r="M84" s="20"/>
      <c r="N84" s="20" t="str">
        <f>VLOOKUP(VALUE(K84),'HSL categorization'!D:E,2,TRUE)</f>
        <v>Medium</v>
      </c>
      <c r="O84" s="20"/>
      <c r="P84" s="1" t="s">
        <v>1878</v>
      </c>
      <c r="Q84" s="1" t="s">
        <v>1854</v>
      </c>
      <c r="R84" s="1" t="s">
        <v>1821</v>
      </c>
      <c r="S84" s="1" t="s">
        <v>1869</v>
      </c>
      <c r="T84" s="1" t="s">
        <v>1834</v>
      </c>
      <c r="X84" t="s">
        <v>1852</v>
      </c>
      <c r="AA84">
        <v>4.5999999999999996</v>
      </c>
      <c r="AB84" t="s">
        <v>1870</v>
      </c>
    </row>
    <row r="85" spans="1:28" x14ac:dyDescent="0.2">
      <c r="A85" s="1" t="s">
        <v>372</v>
      </c>
      <c r="B85" s="1" t="s">
        <v>373</v>
      </c>
      <c r="C85" s="1" t="s">
        <v>328</v>
      </c>
      <c r="D85" s="1" t="s">
        <v>329</v>
      </c>
      <c r="E85" s="1" t="s">
        <v>374</v>
      </c>
      <c r="F85" s="13" t="s">
        <v>375</v>
      </c>
      <c r="G85" s="118" t="s">
        <v>990</v>
      </c>
      <c r="H85" s="25" t="s">
        <v>1967</v>
      </c>
      <c r="I85" s="26">
        <v>0</v>
      </c>
      <c r="J85" s="27" t="s">
        <v>2139</v>
      </c>
      <c r="K85" s="33">
        <v>0.55900000000000005</v>
      </c>
      <c r="L85" s="20" t="str">
        <f>VLOOKUP(I85,'HSL categorization'!$A$2:$B$49,2,1)</f>
        <v>Red</v>
      </c>
      <c r="M85" s="20"/>
      <c r="N85" s="20" t="str">
        <f>VLOOKUP(VALUE(K85),'HSL categorization'!D:E,2,TRUE)</f>
        <v>Medium</v>
      </c>
      <c r="O85" s="20"/>
      <c r="P85" s="1" t="s">
        <v>1878</v>
      </c>
      <c r="Q85" s="1" t="s">
        <v>1854</v>
      </c>
      <c r="R85" s="1" t="s">
        <v>1821</v>
      </c>
      <c r="S85" s="1" t="s">
        <v>1869</v>
      </c>
      <c r="T85" s="1" t="s">
        <v>1834</v>
      </c>
      <c r="X85" t="s">
        <v>1852</v>
      </c>
      <c r="AA85">
        <v>4.5999999999999996</v>
      </c>
      <c r="AB85" t="s">
        <v>1870</v>
      </c>
    </row>
    <row r="86" spans="1:28" x14ac:dyDescent="0.2">
      <c r="A86" s="1" t="s">
        <v>376</v>
      </c>
      <c r="B86" s="1" t="s">
        <v>377</v>
      </c>
      <c r="C86" s="1" t="s">
        <v>328</v>
      </c>
      <c r="D86" s="1" t="s">
        <v>329</v>
      </c>
      <c r="E86" s="1" t="s">
        <v>378</v>
      </c>
      <c r="F86" s="13" t="s">
        <v>379</v>
      </c>
      <c r="G86" s="119" t="s">
        <v>991</v>
      </c>
      <c r="H86" s="25" t="s">
        <v>1968</v>
      </c>
      <c r="I86" s="26">
        <v>349</v>
      </c>
      <c r="J86" s="27" t="s">
        <v>2140</v>
      </c>
      <c r="K86" s="33">
        <v>0.57499999999999996</v>
      </c>
      <c r="L86" s="20" t="str">
        <f>VLOOKUP(I86,'HSL categorization'!$A$2:$B$49,2,1)</f>
        <v>Crimson</v>
      </c>
      <c r="M86" s="20"/>
      <c r="N86" s="20" t="str">
        <f>VLOOKUP(VALUE(K86),'HSL categorization'!D:E,2,TRUE)</f>
        <v>Medium</v>
      </c>
      <c r="O86" s="20"/>
      <c r="P86" s="1" t="s">
        <v>1878</v>
      </c>
      <c r="Q86" s="1" t="s">
        <v>1854</v>
      </c>
      <c r="R86" s="1" t="s">
        <v>1821</v>
      </c>
      <c r="S86" s="1" t="s">
        <v>1869</v>
      </c>
      <c r="T86" s="1" t="s">
        <v>1834</v>
      </c>
      <c r="X86" t="s">
        <v>1852</v>
      </c>
      <c r="AA86">
        <v>4.5999999999999996</v>
      </c>
      <c r="AB86" t="s">
        <v>1870</v>
      </c>
    </row>
    <row r="87" spans="1:28" x14ac:dyDescent="0.2">
      <c r="A87" s="1" t="s">
        <v>380</v>
      </c>
      <c r="B87" s="1" t="s">
        <v>381</v>
      </c>
      <c r="C87" s="1" t="s">
        <v>328</v>
      </c>
      <c r="D87" s="1" t="s">
        <v>329</v>
      </c>
      <c r="E87" s="1" t="s">
        <v>382</v>
      </c>
      <c r="F87" s="13" t="s">
        <v>383</v>
      </c>
      <c r="G87" s="120" t="s">
        <v>992</v>
      </c>
      <c r="H87" s="25" t="s">
        <v>1969</v>
      </c>
      <c r="I87" s="26">
        <v>0</v>
      </c>
      <c r="J87" s="27" t="s">
        <v>2103</v>
      </c>
      <c r="K87" s="33">
        <v>0.48</v>
      </c>
      <c r="L87" s="20" t="str">
        <f>VLOOKUP(I87,'HSL categorization'!$A$2:$B$49,2,1)</f>
        <v>Red</v>
      </c>
      <c r="M87" s="20"/>
      <c r="N87" s="20" t="str">
        <f>VLOOKUP(VALUE(K87),'HSL categorization'!D:E,2,TRUE)</f>
        <v>Medium</v>
      </c>
      <c r="O87" s="20"/>
      <c r="P87" s="1" t="s">
        <v>1878</v>
      </c>
      <c r="Q87" s="1" t="s">
        <v>1854</v>
      </c>
      <c r="R87" s="1" t="s">
        <v>1821</v>
      </c>
      <c r="S87" s="1" t="s">
        <v>1869</v>
      </c>
      <c r="T87" s="1" t="s">
        <v>1834</v>
      </c>
      <c r="X87" t="s">
        <v>1852</v>
      </c>
      <c r="AA87">
        <v>4.5999999999999996</v>
      </c>
      <c r="AB87" t="s">
        <v>1870</v>
      </c>
    </row>
    <row r="88" spans="1:28" x14ac:dyDescent="0.2">
      <c r="A88" s="1" t="s">
        <v>384</v>
      </c>
      <c r="B88" s="1" t="s">
        <v>385</v>
      </c>
      <c r="C88" s="1" t="s">
        <v>328</v>
      </c>
      <c r="D88" s="1" t="s">
        <v>329</v>
      </c>
      <c r="E88" s="1" t="s">
        <v>386</v>
      </c>
      <c r="F88" s="13" t="s">
        <v>387</v>
      </c>
      <c r="G88" s="121" t="s">
        <v>993</v>
      </c>
      <c r="H88" s="25" t="s">
        <v>1970</v>
      </c>
      <c r="I88" s="26">
        <v>357</v>
      </c>
      <c r="J88" s="27" t="s">
        <v>2103</v>
      </c>
      <c r="K88" s="33">
        <v>0.50600000000000001</v>
      </c>
      <c r="L88" s="20" t="str">
        <f>VLOOKUP(I88,'HSL categorization'!$A$2:$B$49,2,1)</f>
        <v>Amaranth</v>
      </c>
      <c r="M88" s="20"/>
      <c r="N88" s="20" t="str">
        <f>VLOOKUP(VALUE(K88),'HSL categorization'!D:E,2,TRUE)</f>
        <v>Medium</v>
      </c>
      <c r="O88" s="20"/>
      <c r="P88" s="1" t="s">
        <v>1878</v>
      </c>
      <c r="Q88" s="1" t="s">
        <v>1854</v>
      </c>
      <c r="R88" s="1" t="s">
        <v>1821</v>
      </c>
      <c r="S88" s="1" t="s">
        <v>1869</v>
      </c>
      <c r="T88" s="1" t="s">
        <v>1834</v>
      </c>
      <c r="X88" t="s">
        <v>1852</v>
      </c>
      <c r="AA88">
        <v>4.5999999999999996</v>
      </c>
      <c r="AB88" t="s">
        <v>1870</v>
      </c>
    </row>
    <row r="89" spans="1:28" x14ac:dyDescent="0.2">
      <c r="A89" s="1" t="s">
        <v>388</v>
      </c>
      <c r="B89" s="1" t="s">
        <v>389</v>
      </c>
      <c r="C89" s="1" t="s">
        <v>328</v>
      </c>
      <c r="D89" s="1" t="s">
        <v>329</v>
      </c>
      <c r="E89" s="1" t="s">
        <v>390</v>
      </c>
      <c r="F89" s="13" t="s">
        <v>391</v>
      </c>
      <c r="G89" s="122" t="s">
        <v>994</v>
      </c>
      <c r="H89" s="25" t="s">
        <v>1971</v>
      </c>
      <c r="I89" s="26">
        <v>358</v>
      </c>
      <c r="J89" s="27" t="s">
        <v>2137</v>
      </c>
      <c r="K89" s="33">
        <v>0.53100000000000003</v>
      </c>
      <c r="L89" s="20" t="str">
        <f>VLOOKUP(I89,'HSL categorization'!$A$2:$B$49,2,1)</f>
        <v>Amaranth</v>
      </c>
      <c r="M89" s="20"/>
      <c r="N89" s="20" t="str">
        <f>VLOOKUP(VALUE(K89),'HSL categorization'!D:E,2,TRUE)</f>
        <v>Medium</v>
      </c>
      <c r="O89" s="20"/>
      <c r="P89" s="1" t="s">
        <v>1878</v>
      </c>
      <c r="Q89" s="1" t="s">
        <v>1854</v>
      </c>
      <c r="R89" s="1" t="s">
        <v>1821</v>
      </c>
      <c r="S89" s="1" t="s">
        <v>1869</v>
      </c>
      <c r="T89" s="1" t="s">
        <v>1834</v>
      </c>
      <c r="X89" t="s">
        <v>1852</v>
      </c>
      <c r="AA89">
        <v>4.5999999999999996</v>
      </c>
      <c r="AB89" t="s">
        <v>1870</v>
      </c>
    </row>
    <row r="90" spans="1:28" x14ac:dyDescent="0.2">
      <c r="A90" s="1" t="s">
        <v>392</v>
      </c>
      <c r="B90" s="1" t="s">
        <v>393</v>
      </c>
      <c r="C90" s="1" t="s">
        <v>328</v>
      </c>
      <c r="D90" s="1" t="s">
        <v>329</v>
      </c>
      <c r="E90" s="1" t="s">
        <v>394</v>
      </c>
      <c r="F90" s="13" t="s">
        <v>395</v>
      </c>
      <c r="G90" s="123" t="s">
        <v>995</v>
      </c>
      <c r="H90" s="25" t="s">
        <v>1972</v>
      </c>
      <c r="I90" s="26">
        <v>0</v>
      </c>
      <c r="J90" s="27" t="s">
        <v>2103</v>
      </c>
      <c r="K90" s="33">
        <v>0.42199999999999999</v>
      </c>
      <c r="L90" s="20" t="str">
        <f>VLOOKUP(I90,'HSL categorization'!$A$2:$B$49,2,1)</f>
        <v>Red</v>
      </c>
      <c r="M90" s="20"/>
      <c r="N90" s="20" t="str">
        <f>VLOOKUP(VALUE(K90),'HSL categorization'!D:E,2,TRUE)</f>
        <v>Medium</v>
      </c>
      <c r="O90" s="20"/>
      <c r="P90" s="1" t="s">
        <v>1878</v>
      </c>
      <c r="Q90" s="1" t="s">
        <v>1854</v>
      </c>
      <c r="R90" s="1" t="s">
        <v>1821</v>
      </c>
      <c r="S90" s="1" t="s">
        <v>1869</v>
      </c>
      <c r="T90" s="1" t="s">
        <v>1834</v>
      </c>
      <c r="X90" t="s">
        <v>1852</v>
      </c>
      <c r="AA90">
        <v>4.5999999999999996</v>
      </c>
      <c r="AB90" t="s">
        <v>1870</v>
      </c>
    </row>
    <row r="91" spans="1:28" x14ac:dyDescent="0.2">
      <c r="A91" s="1" t="s">
        <v>396</v>
      </c>
      <c r="B91" s="1" t="s">
        <v>397</v>
      </c>
      <c r="C91" s="1" t="s">
        <v>328</v>
      </c>
      <c r="D91" s="1" t="s">
        <v>329</v>
      </c>
      <c r="E91" s="1" t="s">
        <v>398</v>
      </c>
      <c r="F91" s="13" t="s">
        <v>399</v>
      </c>
      <c r="G91" s="124" t="s">
        <v>996</v>
      </c>
      <c r="H91" s="25" t="s">
        <v>1973</v>
      </c>
      <c r="I91" s="26">
        <v>345</v>
      </c>
      <c r="J91" s="27" t="s">
        <v>2103</v>
      </c>
      <c r="K91" s="33">
        <v>0.49</v>
      </c>
      <c r="L91" s="20" t="str">
        <f>VLOOKUP(I91,'HSL categorization'!$A$2:$B$49,2,1)</f>
        <v>Crimson</v>
      </c>
      <c r="M91" s="20"/>
      <c r="N91" s="20" t="str">
        <f>VLOOKUP(VALUE(K91),'HSL categorization'!D:E,2,TRUE)</f>
        <v>Medium</v>
      </c>
      <c r="O91" s="20"/>
      <c r="P91" s="1" t="s">
        <v>1878</v>
      </c>
      <c r="Q91" s="1" t="s">
        <v>1854</v>
      </c>
      <c r="R91" s="1" t="s">
        <v>1821</v>
      </c>
      <c r="S91" s="1" t="s">
        <v>1869</v>
      </c>
      <c r="T91" s="1" t="s">
        <v>1834</v>
      </c>
      <c r="X91" t="s">
        <v>1852</v>
      </c>
      <c r="AA91">
        <v>4.5999999999999996</v>
      </c>
      <c r="AB91" t="s">
        <v>1870</v>
      </c>
    </row>
    <row r="92" spans="1:28" x14ac:dyDescent="0.2">
      <c r="A92" s="1" t="s">
        <v>400</v>
      </c>
      <c r="B92" s="1" t="s">
        <v>401</v>
      </c>
      <c r="C92" s="1" t="s">
        <v>48</v>
      </c>
      <c r="D92" s="1" t="s">
        <v>49</v>
      </c>
      <c r="E92" s="1" t="s">
        <v>402</v>
      </c>
      <c r="F92" s="13" t="s">
        <v>403</v>
      </c>
      <c r="G92" s="125" t="s">
        <v>1009</v>
      </c>
      <c r="H92" s="25" t="s">
        <v>1974</v>
      </c>
      <c r="I92" s="26">
        <v>348</v>
      </c>
      <c r="J92" s="27" t="s">
        <v>2141</v>
      </c>
      <c r="K92" s="33">
        <v>0.70799999999999996</v>
      </c>
      <c r="L92" s="20" t="str">
        <f>VLOOKUP(I92,'HSL categorization'!$A$2:$B$49,2,1)</f>
        <v>Crimson</v>
      </c>
      <c r="M92" s="20"/>
      <c r="N92" s="20" t="str">
        <f>VLOOKUP(VALUE(K92),'HSL categorization'!D:E,2,TRUE)</f>
        <v>Light</v>
      </c>
      <c r="O92" s="20"/>
      <c r="P92" s="1" t="s">
        <v>1878</v>
      </c>
      <c r="Q92" s="1" t="s">
        <v>1835</v>
      </c>
      <c r="R92" s="1" t="s">
        <v>1821</v>
      </c>
      <c r="S92" s="1" t="s">
        <v>1823</v>
      </c>
      <c r="T92" s="1" t="s">
        <v>1834</v>
      </c>
      <c r="X92" t="s">
        <v>1859</v>
      </c>
      <c r="Y92" t="s">
        <v>1871</v>
      </c>
      <c r="Z92" t="s">
        <v>1872</v>
      </c>
      <c r="AA92">
        <v>4.5999999999999996</v>
      </c>
      <c r="AB92" t="s">
        <v>1833</v>
      </c>
    </row>
    <row r="93" spans="1:28" x14ac:dyDescent="0.2">
      <c r="A93" s="1" t="s">
        <v>404</v>
      </c>
      <c r="B93" s="1" t="s">
        <v>405</v>
      </c>
      <c r="C93" s="1" t="s">
        <v>328</v>
      </c>
      <c r="D93" s="1" t="s">
        <v>329</v>
      </c>
      <c r="E93" s="1" t="s">
        <v>406</v>
      </c>
      <c r="F93" s="13" t="s">
        <v>407</v>
      </c>
      <c r="G93" s="126" t="s">
        <v>997</v>
      </c>
      <c r="H93" s="25" t="s">
        <v>1975</v>
      </c>
      <c r="I93" s="26">
        <v>352</v>
      </c>
      <c r="J93" s="27" t="s">
        <v>2142</v>
      </c>
      <c r="K93" s="33">
        <v>0.59799999999999998</v>
      </c>
      <c r="L93" s="20" t="str">
        <f>VLOOKUP(I93,'HSL categorization'!$A$2:$B$49,2,1)</f>
        <v>Crimson</v>
      </c>
      <c r="M93" s="20"/>
      <c r="N93" s="20" t="str">
        <f>VLOOKUP(VALUE(K93),'HSL categorization'!D:E,2,TRUE)</f>
        <v>Medium</v>
      </c>
      <c r="O93" s="20"/>
      <c r="P93" s="1" t="s">
        <v>1878</v>
      </c>
      <c r="Q93" s="1" t="s">
        <v>1854</v>
      </c>
      <c r="R93" s="1" t="s">
        <v>1821</v>
      </c>
      <c r="S93" s="1" t="s">
        <v>1869</v>
      </c>
      <c r="T93" s="1" t="s">
        <v>1834</v>
      </c>
      <c r="X93" t="s">
        <v>1852</v>
      </c>
      <c r="AA93">
        <v>4.5999999999999996</v>
      </c>
      <c r="AB93" t="s">
        <v>1870</v>
      </c>
    </row>
    <row r="94" spans="1:28" x14ac:dyDescent="0.2">
      <c r="A94" s="1" t="s">
        <v>408</v>
      </c>
      <c r="B94" s="1" t="s">
        <v>409</v>
      </c>
      <c r="C94" s="1" t="s">
        <v>328</v>
      </c>
      <c r="D94" s="1" t="s">
        <v>329</v>
      </c>
      <c r="E94" s="1" t="s">
        <v>410</v>
      </c>
      <c r="F94" s="13" t="s">
        <v>411</v>
      </c>
      <c r="G94" s="127" t="s">
        <v>998</v>
      </c>
      <c r="H94" s="25" t="s">
        <v>1976</v>
      </c>
      <c r="I94" s="26">
        <v>8</v>
      </c>
      <c r="J94" s="27" t="s">
        <v>2103</v>
      </c>
      <c r="K94" s="33">
        <v>0.68</v>
      </c>
      <c r="L94" s="20" t="str">
        <f>VLOOKUP(I94,'HSL categorization'!$A$2:$B$49,2,1)</f>
        <v>Scarlet</v>
      </c>
      <c r="M94" s="20"/>
      <c r="N94" s="20" t="str">
        <f>VLOOKUP(VALUE(K94),'HSL categorization'!D:E,2,TRUE)</f>
        <v>Medium</v>
      </c>
      <c r="O94" s="20"/>
      <c r="P94" s="1" t="s">
        <v>1878</v>
      </c>
      <c r="Q94" s="1" t="s">
        <v>1854</v>
      </c>
      <c r="R94" s="1" t="s">
        <v>1821</v>
      </c>
      <c r="S94" s="1" t="s">
        <v>1869</v>
      </c>
      <c r="T94" s="1" t="s">
        <v>1834</v>
      </c>
      <c r="X94" t="s">
        <v>1852</v>
      </c>
      <c r="AA94">
        <v>4.5999999999999996</v>
      </c>
      <c r="AB94" t="s">
        <v>1870</v>
      </c>
    </row>
    <row r="95" spans="1:28" x14ac:dyDescent="0.2">
      <c r="A95" s="1" t="s">
        <v>412</v>
      </c>
      <c r="B95" s="1" t="s">
        <v>413</v>
      </c>
      <c r="C95" s="1" t="s">
        <v>328</v>
      </c>
      <c r="D95" s="1" t="s">
        <v>329</v>
      </c>
      <c r="E95" s="1" t="s">
        <v>414</v>
      </c>
      <c r="F95" s="13" t="s">
        <v>415</v>
      </c>
      <c r="G95" s="128" t="s">
        <v>999</v>
      </c>
      <c r="H95" s="25" t="s">
        <v>1977</v>
      </c>
      <c r="I95" s="26">
        <v>351</v>
      </c>
      <c r="J95" s="27" t="s">
        <v>2142</v>
      </c>
      <c r="K95" s="33">
        <v>0.59799999999999998</v>
      </c>
      <c r="L95" s="20" t="str">
        <f>VLOOKUP(I95,'HSL categorization'!$A$2:$B$49,2,1)</f>
        <v>Crimson</v>
      </c>
      <c r="M95" s="20"/>
      <c r="N95" s="20" t="str">
        <f>VLOOKUP(VALUE(K95),'HSL categorization'!D:E,2,TRUE)</f>
        <v>Medium</v>
      </c>
      <c r="O95" s="20"/>
      <c r="P95" s="1" t="s">
        <v>1878</v>
      </c>
      <c r="Q95" s="1" t="s">
        <v>1854</v>
      </c>
      <c r="R95" s="1" t="s">
        <v>1821</v>
      </c>
      <c r="S95" s="1" t="s">
        <v>1869</v>
      </c>
      <c r="T95" s="1" t="s">
        <v>1834</v>
      </c>
      <c r="X95" t="s">
        <v>1852</v>
      </c>
      <c r="AA95">
        <v>4.5999999999999996</v>
      </c>
      <c r="AB95" t="s">
        <v>1870</v>
      </c>
    </row>
    <row r="96" spans="1:28" x14ac:dyDescent="0.2">
      <c r="A96" s="1" t="s">
        <v>416</v>
      </c>
      <c r="B96" s="1" t="s">
        <v>417</v>
      </c>
      <c r="C96" s="1" t="s">
        <v>328</v>
      </c>
      <c r="D96" s="1" t="s">
        <v>329</v>
      </c>
      <c r="E96" s="1" t="s">
        <v>418</v>
      </c>
      <c r="F96" s="13" t="s">
        <v>419</v>
      </c>
      <c r="G96" s="129" t="s">
        <v>1000</v>
      </c>
      <c r="H96" s="25" t="s">
        <v>1978</v>
      </c>
      <c r="I96" s="26">
        <v>353</v>
      </c>
      <c r="J96" s="27" t="s">
        <v>2143</v>
      </c>
      <c r="K96" s="33">
        <v>0.42899999999999999</v>
      </c>
      <c r="L96" s="20" t="str">
        <f>VLOOKUP(I96,'HSL categorization'!$A$2:$B$49,2,1)</f>
        <v>Amaranth</v>
      </c>
      <c r="M96" s="20"/>
      <c r="N96" s="20" t="str">
        <f>VLOOKUP(VALUE(K96),'HSL categorization'!D:E,2,TRUE)</f>
        <v>Medium</v>
      </c>
      <c r="O96" s="20"/>
      <c r="P96" s="1" t="s">
        <v>1878</v>
      </c>
      <c r="Q96" s="1" t="s">
        <v>1854</v>
      </c>
      <c r="R96" s="1" t="s">
        <v>1821</v>
      </c>
      <c r="S96" s="1" t="s">
        <v>1869</v>
      </c>
      <c r="T96" s="1" t="s">
        <v>1834</v>
      </c>
      <c r="X96" t="s">
        <v>1852</v>
      </c>
      <c r="AA96">
        <v>4.5999999999999996</v>
      </c>
      <c r="AB96" t="s">
        <v>1870</v>
      </c>
    </row>
    <row r="97" spans="1:28" x14ac:dyDescent="0.2">
      <c r="A97" s="1" t="s">
        <v>420</v>
      </c>
      <c r="B97" s="1" t="s">
        <v>421</v>
      </c>
      <c r="C97" s="1" t="s">
        <v>328</v>
      </c>
      <c r="D97" s="1" t="s">
        <v>329</v>
      </c>
      <c r="E97" s="1" t="s">
        <v>422</v>
      </c>
      <c r="F97" s="13" t="s">
        <v>423</v>
      </c>
      <c r="G97" s="130" t="s">
        <v>1017</v>
      </c>
      <c r="H97" s="25" t="s">
        <v>1979</v>
      </c>
      <c r="I97" s="26">
        <v>355</v>
      </c>
      <c r="J97" s="27" t="s">
        <v>2103</v>
      </c>
      <c r="K97" s="33">
        <v>0.69199999999999995</v>
      </c>
      <c r="L97" s="20" t="str">
        <f>VLOOKUP(I97,'HSL categorization'!$A$2:$B$49,2,1)</f>
        <v>Amaranth</v>
      </c>
      <c r="M97" s="20"/>
      <c r="N97" s="20" t="str">
        <f>VLOOKUP(VALUE(K97),'HSL categorization'!D:E,2,TRUE)</f>
        <v>Medium</v>
      </c>
      <c r="O97" s="20"/>
      <c r="P97" s="1" t="s">
        <v>1878</v>
      </c>
      <c r="Q97" s="1" t="s">
        <v>1854</v>
      </c>
      <c r="R97" s="1" t="s">
        <v>1821</v>
      </c>
      <c r="S97" s="1" t="s">
        <v>1847</v>
      </c>
      <c r="T97" s="1" t="s">
        <v>1834</v>
      </c>
      <c r="X97" t="s">
        <v>1852</v>
      </c>
      <c r="AA97">
        <v>4.5999999999999996</v>
      </c>
      <c r="AB97" t="s">
        <v>1870</v>
      </c>
    </row>
    <row r="98" spans="1:28" x14ac:dyDescent="0.2">
      <c r="A98" s="1" t="s">
        <v>424</v>
      </c>
      <c r="B98" s="1" t="s">
        <v>425</v>
      </c>
      <c r="C98" s="1" t="s">
        <v>328</v>
      </c>
      <c r="D98" s="1" t="s">
        <v>329</v>
      </c>
      <c r="E98" s="1" t="s">
        <v>426</v>
      </c>
      <c r="F98" s="13" t="s">
        <v>427</v>
      </c>
      <c r="G98" s="131" t="s">
        <v>1018</v>
      </c>
      <c r="H98" s="25" t="s">
        <v>1980</v>
      </c>
      <c r="I98" s="26">
        <v>354</v>
      </c>
      <c r="J98" s="27" t="s">
        <v>2103</v>
      </c>
      <c r="K98" s="33">
        <v>0.69199999999999995</v>
      </c>
      <c r="L98" s="20" t="str">
        <f>VLOOKUP(I98,'HSL categorization'!$A$2:$B$49,2,1)</f>
        <v>Amaranth</v>
      </c>
      <c r="M98" s="20"/>
      <c r="N98" s="20" t="str">
        <f>VLOOKUP(VALUE(K98),'HSL categorization'!D:E,2,TRUE)</f>
        <v>Medium</v>
      </c>
      <c r="O98" s="20"/>
      <c r="P98" s="1" t="s">
        <v>1878</v>
      </c>
      <c r="Q98" s="1" t="s">
        <v>1854</v>
      </c>
      <c r="R98" s="1" t="s">
        <v>1821</v>
      </c>
      <c r="S98" s="1" t="s">
        <v>1847</v>
      </c>
      <c r="T98" s="1" t="s">
        <v>1834</v>
      </c>
      <c r="X98" t="s">
        <v>1852</v>
      </c>
      <c r="AA98">
        <v>4.5999999999999996</v>
      </c>
      <c r="AB98" t="s">
        <v>1870</v>
      </c>
    </row>
    <row r="99" spans="1:28" x14ac:dyDescent="0.2">
      <c r="A99" s="1" t="s">
        <v>428</v>
      </c>
      <c r="B99" s="1" t="s">
        <v>429</v>
      </c>
      <c r="C99" s="1" t="s">
        <v>328</v>
      </c>
      <c r="D99" s="1" t="s">
        <v>329</v>
      </c>
      <c r="E99" s="1" t="s">
        <v>430</v>
      </c>
      <c r="F99" s="13" t="s">
        <v>431</v>
      </c>
      <c r="G99" s="132" t="s">
        <v>1019</v>
      </c>
      <c r="H99" s="25" t="s">
        <v>1981</v>
      </c>
      <c r="I99" s="26">
        <v>358</v>
      </c>
      <c r="J99" s="27" t="s">
        <v>2144</v>
      </c>
      <c r="K99" s="33">
        <v>0.66300000000000003</v>
      </c>
      <c r="L99" s="20" t="str">
        <f>VLOOKUP(I99,'HSL categorization'!$A$2:$B$49,2,1)</f>
        <v>Amaranth</v>
      </c>
      <c r="M99" s="20"/>
      <c r="N99" s="20" t="str">
        <f>VLOOKUP(VALUE(K99),'HSL categorization'!D:E,2,TRUE)</f>
        <v>Medium</v>
      </c>
      <c r="O99" s="20"/>
      <c r="P99" s="1" t="s">
        <v>1878</v>
      </c>
      <c r="Q99" s="1" t="s">
        <v>1854</v>
      </c>
      <c r="R99" s="1" t="s">
        <v>1821</v>
      </c>
      <c r="S99" s="1" t="s">
        <v>1847</v>
      </c>
      <c r="T99" s="1" t="s">
        <v>1834</v>
      </c>
      <c r="X99" t="s">
        <v>1852</v>
      </c>
      <c r="AA99">
        <v>4.5999999999999996</v>
      </c>
      <c r="AB99" t="s">
        <v>1870</v>
      </c>
    </row>
    <row r="100" spans="1:28" x14ac:dyDescent="0.2">
      <c r="A100" s="1" t="s">
        <v>432</v>
      </c>
      <c r="B100" s="1" t="s">
        <v>433</v>
      </c>
      <c r="C100" s="1" t="s">
        <v>328</v>
      </c>
      <c r="D100" s="1" t="s">
        <v>329</v>
      </c>
      <c r="E100" s="1" t="s">
        <v>434</v>
      </c>
      <c r="F100" s="13" t="s">
        <v>435</v>
      </c>
      <c r="G100" s="133" t="s">
        <v>1020</v>
      </c>
      <c r="H100" s="25" t="s">
        <v>1982</v>
      </c>
      <c r="I100" s="26">
        <v>342</v>
      </c>
      <c r="J100" s="27" t="s">
        <v>2145</v>
      </c>
      <c r="K100" s="33">
        <v>0.67800000000000005</v>
      </c>
      <c r="L100" s="20" t="str">
        <f>VLOOKUP(I100,'HSL categorization'!$A$2:$B$49,2,1)</f>
        <v>Raspberry</v>
      </c>
      <c r="M100" s="20"/>
      <c r="N100" s="20" t="str">
        <f>VLOOKUP(VALUE(K100),'HSL categorization'!D:E,2,TRUE)</f>
        <v>Medium</v>
      </c>
      <c r="O100" s="20"/>
      <c r="P100" s="1" t="s">
        <v>1878</v>
      </c>
      <c r="Q100" s="1" t="s">
        <v>1854</v>
      </c>
      <c r="R100" s="1" t="s">
        <v>1821</v>
      </c>
      <c r="S100" s="1" t="s">
        <v>1847</v>
      </c>
      <c r="T100" s="1" t="s">
        <v>1834</v>
      </c>
      <c r="X100" t="s">
        <v>1852</v>
      </c>
      <c r="AA100">
        <v>4.5999999999999996</v>
      </c>
      <c r="AB100" t="s">
        <v>1870</v>
      </c>
    </row>
    <row r="101" spans="1:28" x14ac:dyDescent="0.2">
      <c r="A101" s="1" t="s">
        <v>436</v>
      </c>
      <c r="B101" s="1" t="s">
        <v>437</v>
      </c>
      <c r="C101" s="1" t="s">
        <v>328</v>
      </c>
      <c r="D101" s="1" t="s">
        <v>329</v>
      </c>
      <c r="E101" s="1" t="s">
        <v>438</v>
      </c>
      <c r="F101" s="13" t="s">
        <v>439</v>
      </c>
      <c r="G101" s="134" t="s">
        <v>1021</v>
      </c>
      <c r="H101" s="25" t="s">
        <v>1983</v>
      </c>
      <c r="I101" s="26">
        <v>322</v>
      </c>
      <c r="J101" s="27" t="s">
        <v>2146</v>
      </c>
      <c r="K101" s="33">
        <v>0.47299999999999998</v>
      </c>
      <c r="L101" s="20" t="str">
        <f>VLOOKUP(I101,'HSL categorization'!$A$2:$B$49,2,1)</f>
        <v>Fuchsia</v>
      </c>
      <c r="M101" s="20"/>
      <c r="N101" s="20" t="str">
        <f>VLOOKUP(VALUE(K101),'HSL categorization'!D:E,2,TRUE)</f>
        <v>Medium</v>
      </c>
      <c r="O101" s="20"/>
      <c r="P101" s="1" t="s">
        <v>1878</v>
      </c>
      <c r="Q101" s="1" t="s">
        <v>1854</v>
      </c>
      <c r="R101" s="1" t="s">
        <v>1821</v>
      </c>
      <c r="S101" s="1" t="s">
        <v>1847</v>
      </c>
      <c r="T101" s="1" t="s">
        <v>1834</v>
      </c>
      <c r="X101" t="s">
        <v>1852</v>
      </c>
      <c r="AA101">
        <v>4.5999999999999996</v>
      </c>
      <c r="AB101" t="s">
        <v>1870</v>
      </c>
    </row>
    <row r="102" spans="1:28" x14ac:dyDescent="0.2">
      <c r="A102" s="1" t="s">
        <v>440</v>
      </c>
      <c r="B102" s="1" t="s">
        <v>441</v>
      </c>
      <c r="C102" s="1" t="s">
        <v>328</v>
      </c>
      <c r="D102" s="1" t="s">
        <v>329</v>
      </c>
      <c r="E102" s="1" t="s">
        <v>442</v>
      </c>
      <c r="F102" s="13" t="s">
        <v>443</v>
      </c>
      <c r="G102" s="135" t="s">
        <v>1022</v>
      </c>
      <c r="H102" s="25" t="s">
        <v>1984</v>
      </c>
      <c r="I102" s="26">
        <v>341</v>
      </c>
      <c r="J102" s="27" t="s">
        <v>2147</v>
      </c>
      <c r="K102" s="33">
        <v>0.439</v>
      </c>
      <c r="L102" s="20" t="str">
        <f>VLOOKUP(I102,'HSL categorization'!$A$2:$B$49,2,1)</f>
        <v>Raspberry</v>
      </c>
      <c r="M102" s="20"/>
      <c r="N102" s="20" t="str">
        <f>VLOOKUP(VALUE(K102),'HSL categorization'!D:E,2,TRUE)</f>
        <v>Medium</v>
      </c>
      <c r="O102" s="20"/>
      <c r="P102" s="1" t="s">
        <v>1878</v>
      </c>
      <c r="Q102" s="1" t="s">
        <v>1854</v>
      </c>
      <c r="R102" s="1" t="s">
        <v>1821</v>
      </c>
      <c r="S102" s="1" t="s">
        <v>1847</v>
      </c>
      <c r="T102" s="1" t="s">
        <v>1834</v>
      </c>
      <c r="X102" t="s">
        <v>1852</v>
      </c>
      <c r="AA102">
        <v>4.5999999999999996</v>
      </c>
      <c r="AB102" t="s">
        <v>1870</v>
      </c>
    </row>
    <row r="103" spans="1:28" x14ac:dyDescent="0.2">
      <c r="A103" s="1" t="s">
        <v>444</v>
      </c>
      <c r="B103" s="1" t="s">
        <v>445</v>
      </c>
      <c r="C103" s="1" t="s">
        <v>328</v>
      </c>
      <c r="D103" s="1" t="s">
        <v>329</v>
      </c>
      <c r="E103" s="1" t="s">
        <v>446</v>
      </c>
      <c r="F103" s="13" t="s">
        <v>447</v>
      </c>
      <c r="G103" s="136" t="s">
        <v>1023</v>
      </c>
      <c r="H103" s="25" t="s">
        <v>1985</v>
      </c>
      <c r="I103" s="26">
        <v>356</v>
      </c>
      <c r="J103" s="27" t="s">
        <v>2148</v>
      </c>
      <c r="K103" s="33">
        <v>0.55700000000000005</v>
      </c>
      <c r="L103" s="20" t="str">
        <f>VLOOKUP(I103,'HSL categorization'!$A$2:$B$49,2,1)</f>
        <v>Amaranth</v>
      </c>
      <c r="M103" s="20"/>
      <c r="N103" s="20" t="str">
        <f>VLOOKUP(VALUE(K103),'HSL categorization'!D:E,2,TRUE)</f>
        <v>Medium</v>
      </c>
      <c r="O103" s="20"/>
      <c r="P103" s="1" t="s">
        <v>1878</v>
      </c>
      <c r="Q103" s="1" t="s">
        <v>1854</v>
      </c>
      <c r="R103" s="1" t="s">
        <v>1821</v>
      </c>
      <c r="S103" s="1" t="s">
        <v>1847</v>
      </c>
      <c r="T103" s="1" t="s">
        <v>1834</v>
      </c>
      <c r="X103" t="s">
        <v>1852</v>
      </c>
      <c r="AA103">
        <v>4.5999999999999996</v>
      </c>
      <c r="AB103" t="s">
        <v>1870</v>
      </c>
    </row>
    <row r="104" spans="1:28" x14ac:dyDescent="0.2">
      <c r="A104" s="1" t="s">
        <v>448</v>
      </c>
      <c r="B104" s="1" t="s">
        <v>449</v>
      </c>
      <c r="C104" s="1" t="s">
        <v>328</v>
      </c>
      <c r="D104" s="1" t="s">
        <v>329</v>
      </c>
      <c r="E104" s="1" t="s">
        <v>450</v>
      </c>
      <c r="F104" s="13" t="s">
        <v>451</v>
      </c>
      <c r="G104" s="137" t="s">
        <v>1024</v>
      </c>
      <c r="H104" s="25" t="s">
        <v>1986</v>
      </c>
      <c r="I104" s="26">
        <v>9</v>
      </c>
      <c r="J104" s="27" t="s">
        <v>2149</v>
      </c>
      <c r="K104" s="33">
        <v>0.75700000000000001</v>
      </c>
      <c r="L104" s="20" t="str">
        <f>VLOOKUP(I104,'HSL categorization'!$A$2:$B$49,2,1)</f>
        <v>Scarlet</v>
      </c>
      <c r="M104" s="20"/>
      <c r="N104" s="20" t="str">
        <f>VLOOKUP(VALUE(K104),'HSL categorization'!D:E,2,TRUE)</f>
        <v>Light</v>
      </c>
      <c r="O104" s="20"/>
      <c r="P104" s="1" t="s">
        <v>1878</v>
      </c>
      <c r="Q104" s="1" t="s">
        <v>1854</v>
      </c>
      <c r="R104" s="1" t="s">
        <v>1821</v>
      </c>
      <c r="S104" s="1" t="s">
        <v>1847</v>
      </c>
      <c r="T104" s="1" t="s">
        <v>1834</v>
      </c>
      <c r="X104" t="s">
        <v>1852</v>
      </c>
      <c r="AA104">
        <v>4.5999999999999996</v>
      </c>
      <c r="AB104" t="s">
        <v>1870</v>
      </c>
    </row>
    <row r="105" spans="1:28" x14ac:dyDescent="0.2">
      <c r="A105" s="1" t="s">
        <v>452</v>
      </c>
      <c r="B105" s="1" t="s">
        <v>453</v>
      </c>
      <c r="C105" s="1" t="s">
        <v>328</v>
      </c>
      <c r="D105" s="1" t="s">
        <v>329</v>
      </c>
      <c r="E105" s="1" t="s">
        <v>454</v>
      </c>
      <c r="F105" s="13" t="s">
        <v>455</v>
      </c>
      <c r="G105" s="138" t="s">
        <v>1025</v>
      </c>
      <c r="H105" s="25" t="s">
        <v>1987</v>
      </c>
      <c r="I105" s="26">
        <v>202</v>
      </c>
      <c r="J105" s="27" t="s">
        <v>2150</v>
      </c>
      <c r="K105" s="33">
        <v>0.25700000000000001</v>
      </c>
      <c r="L105" s="20" t="str">
        <f>VLOOKUP(I105,'HSL categorization'!$A$2:$B$49,2,1)</f>
        <v>Cerulean</v>
      </c>
      <c r="M105" s="20"/>
      <c r="N105" s="20" t="str">
        <f>VLOOKUP(VALUE(K105),'HSL categorization'!D:E,2,TRUE)</f>
        <v>Dark</v>
      </c>
      <c r="O105" s="20"/>
      <c r="P105" s="1" t="s">
        <v>1878</v>
      </c>
      <c r="Q105" s="1" t="s">
        <v>1854</v>
      </c>
      <c r="R105" s="1" t="s">
        <v>1821</v>
      </c>
      <c r="S105" s="1" t="s">
        <v>1847</v>
      </c>
      <c r="T105" s="1" t="s">
        <v>1834</v>
      </c>
      <c r="X105" t="s">
        <v>1852</v>
      </c>
      <c r="AA105">
        <v>4.5999999999999996</v>
      </c>
      <c r="AB105" t="s">
        <v>1870</v>
      </c>
    </row>
    <row r="106" spans="1:28" x14ac:dyDescent="0.2">
      <c r="A106" s="1" t="s">
        <v>456</v>
      </c>
      <c r="B106" s="1" t="s">
        <v>457</v>
      </c>
      <c r="C106" s="1" t="s">
        <v>328</v>
      </c>
      <c r="D106" s="1" t="s">
        <v>329</v>
      </c>
      <c r="E106" s="1" t="s">
        <v>458</v>
      </c>
      <c r="F106" s="13" t="s">
        <v>459</v>
      </c>
      <c r="G106" s="139" t="s">
        <v>1026</v>
      </c>
      <c r="H106" s="25" t="s">
        <v>1988</v>
      </c>
      <c r="I106" s="26">
        <v>359</v>
      </c>
      <c r="J106" s="27" t="s">
        <v>2151</v>
      </c>
      <c r="K106" s="33">
        <v>0.72199999999999998</v>
      </c>
      <c r="L106" s="20" t="str">
        <f>VLOOKUP(I106,'HSL categorization'!$A$2:$B$49,2,1)</f>
        <v>Amaranth</v>
      </c>
      <c r="M106" s="20"/>
      <c r="N106" s="20" t="str">
        <f>VLOOKUP(VALUE(K106),'HSL categorization'!D:E,2,TRUE)</f>
        <v>Light</v>
      </c>
      <c r="O106" s="20"/>
      <c r="P106" s="1" t="s">
        <v>1878</v>
      </c>
      <c r="Q106" s="1" t="s">
        <v>1854</v>
      </c>
      <c r="R106" s="1" t="s">
        <v>1821</v>
      </c>
      <c r="S106" s="1" t="s">
        <v>1847</v>
      </c>
      <c r="T106" s="1" t="s">
        <v>1834</v>
      </c>
      <c r="X106" t="s">
        <v>1852</v>
      </c>
      <c r="AA106">
        <v>4.5999999999999996</v>
      </c>
      <c r="AB106" t="s">
        <v>1870</v>
      </c>
    </row>
    <row r="107" spans="1:28" x14ac:dyDescent="0.2">
      <c r="A107" s="1" t="s">
        <v>460</v>
      </c>
      <c r="B107" s="1" t="s">
        <v>461</v>
      </c>
      <c r="C107" s="1" t="s">
        <v>328</v>
      </c>
      <c r="D107" s="1" t="s">
        <v>329</v>
      </c>
      <c r="E107" s="1" t="s">
        <v>462</v>
      </c>
      <c r="F107" s="13" t="s">
        <v>463</v>
      </c>
      <c r="G107" s="140" t="s">
        <v>1027</v>
      </c>
      <c r="H107" s="25" t="s">
        <v>1989</v>
      </c>
      <c r="I107" s="26">
        <v>0</v>
      </c>
      <c r="J107" s="27" t="s">
        <v>2152</v>
      </c>
      <c r="K107" s="33">
        <v>0.63500000000000001</v>
      </c>
      <c r="L107" s="20" t="str">
        <f>VLOOKUP(I107,'HSL categorization'!$A$2:$B$49,2,1)</f>
        <v>Red</v>
      </c>
      <c r="M107" s="20"/>
      <c r="N107" s="20" t="str">
        <f>VLOOKUP(VALUE(K107),'HSL categorization'!D:E,2,TRUE)</f>
        <v>Medium</v>
      </c>
      <c r="O107" s="20"/>
      <c r="P107" s="1" t="s">
        <v>1878</v>
      </c>
      <c r="Q107" s="1" t="s">
        <v>1854</v>
      </c>
      <c r="R107" s="1" t="s">
        <v>1821</v>
      </c>
      <c r="S107" s="1" t="s">
        <v>1847</v>
      </c>
      <c r="T107" s="1" t="s">
        <v>1834</v>
      </c>
      <c r="X107" t="s">
        <v>1852</v>
      </c>
      <c r="AA107">
        <v>4.5999999999999996</v>
      </c>
      <c r="AB107" t="s">
        <v>1870</v>
      </c>
    </row>
    <row r="108" spans="1:28" x14ac:dyDescent="0.2">
      <c r="A108" s="1" t="s">
        <v>464</v>
      </c>
      <c r="B108" s="1" t="s">
        <v>465</v>
      </c>
      <c r="C108" s="1" t="s">
        <v>208</v>
      </c>
      <c r="D108" s="1" t="s">
        <v>209</v>
      </c>
      <c r="E108" s="1" t="s">
        <v>466</v>
      </c>
      <c r="F108" s="13" t="s">
        <v>467</v>
      </c>
      <c r="G108" s="141" t="s">
        <v>941</v>
      </c>
      <c r="H108" s="25" t="s">
        <v>1990</v>
      </c>
      <c r="I108" s="26">
        <v>347</v>
      </c>
      <c r="J108" s="27" t="s">
        <v>2153</v>
      </c>
      <c r="K108" s="33">
        <v>0.51800000000000002</v>
      </c>
      <c r="L108" s="20" t="str">
        <f>VLOOKUP(I108,'HSL categorization'!$A$2:$B$49,2,1)</f>
        <v>Crimson</v>
      </c>
      <c r="M108" s="20"/>
      <c r="N108" s="20" t="str">
        <f>VLOOKUP(VALUE(K108),'HSL categorization'!D:E,2,TRUE)</f>
        <v>Medium</v>
      </c>
      <c r="O108" s="20"/>
      <c r="P108" s="1" t="s">
        <v>1878</v>
      </c>
      <c r="Q108" s="1" t="s">
        <v>1854</v>
      </c>
      <c r="R108" s="1" t="s">
        <v>1821</v>
      </c>
      <c r="S108" s="1" t="s">
        <v>1816</v>
      </c>
      <c r="T108" s="1" t="s">
        <v>1834</v>
      </c>
      <c r="X108" t="s">
        <v>1152</v>
      </c>
      <c r="AA108">
        <v>4.5999999999999996</v>
      </c>
      <c r="AB108" t="s">
        <v>1870</v>
      </c>
    </row>
    <row r="109" spans="1:28" x14ac:dyDescent="0.2">
      <c r="A109" s="1" t="s">
        <v>468</v>
      </c>
      <c r="B109" s="1" t="s">
        <v>469</v>
      </c>
      <c r="C109" s="1" t="s">
        <v>470</v>
      </c>
      <c r="D109" s="1" t="s">
        <v>471</v>
      </c>
      <c r="E109" s="1" t="s">
        <v>472</v>
      </c>
      <c r="F109" s="13" t="s">
        <v>473</v>
      </c>
      <c r="G109" s="142" t="s">
        <v>1058</v>
      </c>
      <c r="H109" s="25" t="s">
        <v>1991</v>
      </c>
      <c r="I109" s="26">
        <v>359</v>
      </c>
      <c r="J109" s="27" t="s">
        <v>2103</v>
      </c>
      <c r="K109" s="33">
        <v>0.67500000000000004</v>
      </c>
      <c r="L109" s="20" t="str">
        <f>VLOOKUP(I109,'HSL categorization'!$A$2:$B$49,2,1)</f>
        <v>Amaranth</v>
      </c>
      <c r="M109" s="20"/>
      <c r="N109" s="20" t="str">
        <f>VLOOKUP(VALUE(K109),'HSL categorization'!D:E,2,TRUE)</f>
        <v>Medium</v>
      </c>
      <c r="O109" s="20"/>
      <c r="P109" s="1" t="s">
        <v>1878</v>
      </c>
      <c r="Q109" s="1" t="s">
        <v>1854</v>
      </c>
      <c r="R109" s="1" t="s">
        <v>1821</v>
      </c>
      <c r="S109" s="1" t="s">
        <v>1816</v>
      </c>
      <c r="T109" s="1" t="s">
        <v>1834</v>
      </c>
      <c r="X109" t="s">
        <v>1152</v>
      </c>
      <c r="AA109">
        <v>4.5999999999999996</v>
      </c>
      <c r="AB109" t="s">
        <v>1870</v>
      </c>
    </row>
    <row r="110" spans="1:28" x14ac:dyDescent="0.2">
      <c r="A110" s="1" t="s">
        <v>474</v>
      </c>
      <c r="B110" s="1" t="s">
        <v>475</v>
      </c>
      <c r="C110" s="1" t="s">
        <v>470</v>
      </c>
      <c r="D110" s="1" t="s">
        <v>471</v>
      </c>
      <c r="E110" s="1" t="s">
        <v>476</v>
      </c>
      <c r="F110" s="13" t="s">
        <v>477</v>
      </c>
      <c r="G110" s="143" t="s">
        <v>1059</v>
      </c>
      <c r="H110" s="25" t="s">
        <v>1992</v>
      </c>
      <c r="I110" s="26">
        <v>355</v>
      </c>
      <c r="J110" s="27" t="s">
        <v>2154</v>
      </c>
      <c r="K110" s="33">
        <v>0.69</v>
      </c>
      <c r="L110" s="20" t="str">
        <f>VLOOKUP(I110,'HSL categorization'!$A$2:$B$49,2,1)</f>
        <v>Amaranth</v>
      </c>
      <c r="M110" s="20"/>
      <c r="N110" s="20" t="str">
        <f>VLOOKUP(VALUE(K110),'HSL categorization'!D:E,2,TRUE)</f>
        <v>Medium</v>
      </c>
      <c r="O110" s="20"/>
      <c r="P110" s="1" t="s">
        <v>1878</v>
      </c>
      <c r="Q110" s="1" t="s">
        <v>1854</v>
      </c>
      <c r="R110" s="1" t="s">
        <v>1821</v>
      </c>
      <c r="S110" s="1" t="s">
        <v>1816</v>
      </c>
      <c r="T110" s="1" t="s">
        <v>1834</v>
      </c>
      <c r="X110" t="s">
        <v>1152</v>
      </c>
      <c r="AA110">
        <v>4.5999999999999996</v>
      </c>
      <c r="AB110" t="s">
        <v>1870</v>
      </c>
    </row>
    <row r="111" spans="1:28" x14ac:dyDescent="0.2">
      <c r="A111" s="1" t="s">
        <v>478</v>
      </c>
      <c r="B111" s="1" t="s">
        <v>479</v>
      </c>
      <c r="C111" s="1" t="s">
        <v>470</v>
      </c>
      <c r="D111" s="1" t="s">
        <v>471</v>
      </c>
      <c r="E111" s="1" t="s">
        <v>480</v>
      </c>
      <c r="F111" s="2" t="s">
        <v>481</v>
      </c>
      <c r="G111" s="144" t="s">
        <v>1060</v>
      </c>
      <c r="H111" s="25" t="s">
        <v>1993</v>
      </c>
      <c r="I111" s="26">
        <v>5</v>
      </c>
      <c r="J111" s="27" t="s">
        <v>2103</v>
      </c>
      <c r="K111" s="33">
        <v>0.60199999999999998</v>
      </c>
      <c r="L111" s="20" t="str">
        <f>VLOOKUP(I111,'HSL categorization'!$A$2:$B$49,2,1)</f>
        <v>Red</v>
      </c>
      <c r="M111" s="20"/>
      <c r="N111" s="20" t="str">
        <f>VLOOKUP(VALUE(K111),'HSL categorization'!D:E,2,TRUE)</f>
        <v>Medium</v>
      </c>
      <c r="O111" s="20"/>
      <c r="P111" s="1" t="s">
        <v>1878</v>
      </c>
      <c r="Q111" s="1" t="s">
        <v>1854</v>
      </c>
      <c r="R111" s="1" t="s">
        <v>1821</v>
      </c>
      <c r="S111" s="1" t="s">
        <v>1816</v>
      </c>
      <c r="T111" s="1" t="s">
        <v>1834</v>
      </c>
      <c r="X111" t="s">
        <v>1152</v>
      </c>
      <c r="AA111">
        <v>4.5999999999999996</v>
      </c>
      <c r="AB111" t="s">
        <v>1870</v>
      </c>
    </row>
    <row r="112" spans="1:28" x14ac:dyDescent="0.2">
      <c r="A112" s="1" t="s">
        <v>482</v>
      </c>
      <c r="B112" s="1" t="s">
        <v>483</v>
      </c>
      <c r="C112" s="1" t="s">
        <v>470</v>
      </c>
      <c r="D112" s="1" t="s">
        <v>471</v>
      </c>
      <c r="E112" s="1" t="s">
        <v>484</v>
      </c>
      <c r="F112" s="2" t="s">
        <v>485</v>
      </c>
      <c r="G112" s="145" t="s">
        <v>1061</v>
      </c>
      <c r="H112" s="25" t="s">
        <v>1994</v>
      </c>
      <c r="I112" s="26">
        <v>353</v>
      </c>
      <c r="J112" s="27" t="s">
        <v>2155</v>
      </c>
      <c r="K112" s="33">
        <v>0.61799999999999999</v>
      </c>
      <c r="L112" s="20" t="str">
        <f>VLOOKUP(I112,'HSL categorization'!$A$2:$B$49,2,1)</f>
        <v>Amaranth</v>
      </c>
      <c r="M112" s="20"/>
      <c r="N112" s="20" t="str">
        <f>VLOOKUP(VALUE(K112),'HSL categorization'!D:E,2,TRUE)</f>
        <v>Medium</v>
      </c>
      <c r="O112" s="20"/>
      <c r="P112" s="1" t="s">
        <v>1878</v>
      </c>
      <c r="Q112" s="1" t="s">
        <v>1854</v>
      </c>
      <c r="R112" s="1" t="s">
        <v>1821</v>
      </c>
      <c r="S112" s="1" t="s">
        <v>1816</v>
      </c>
      <c r="T112" s="1" t="s">
        <v>1834</v>
      </c>
      <c r="X112" t="s">
        <v>1152</v>
      </c>
      <c r="AA112">
        <v>4.5999999999999996</v>
      </c>
      <c r="AB112" t="s">
        <v>1870</v>
      </c>
    </row>
    <row r="113" spans="1:28" x14ac:dyDescent="0.2">
      <c r="A113" s="1" t="s">
        <v>486</v>
      </c>
      <c r="B113" s="1" t="s">
        <v>487</v>
      </c>
      <c r="C113" s="1" t="s">
        <v>470</v>
      </c>
      <c r="D113" s="1" t="s">
        <v>471</v>
      </c>
      <c r="E113" s="1" t="s">
        <v>488</v>
      </c>
      <c r="F113" s="2" t="s">
        <v>489</v>
      </c>
      <c r="G113" s="146" t="s">
        <v>1062</v>
      </c>
      <c r="H113" s="25" t="s">
        <v>1995</v>
      </c>
      <c r="I113" s="26">
        <v>341</v>
      </c>
      <c r="J113" s="27" t="s">
        <v>2103</v>
      </c>
      <c r="K113" s="33">
        <v>0.5</v>
      </c>
      <c r="L113" s="20" t="str">
        <f>VLOOKUP(I113,'HSL categorization'!$A$2:$B$49,2,1)</f>
        <v>Raspberry</v>
      </c>
      <c r="M113" s="20"/>
      <c r="N113" s="20" t="str">
        <f>VLOOKUP(VALUE(K113),'HSL categorization'!D:E,2,TRUE)</f>
        <v>Medium</v>
      </c>
      <c r="O113" s="20"/>
      <c r="P113" s="1" t="s">
        <v>1878</v>
      </c>
      <c r="Q113" s="1" t="s">
        <v>1854</v>
      </c>
      <c r="R113" s="1" t="s">
        <v>1821</v>
      </c>
      <c r="S113" s="1" t="s">
        <v>1816</v>
      </c>
      <c r="T113" s="1" t="s">
        <v>1834</v>
      </c>
      <c r="X113" t="s">
        <v>1152</v>
      </c>
      <c r="AA113">
        <v>4.5999999999999996</v>
      </c>
      <c r="AB113" t="s">
        <v>1870</v>
      </c>
    </row>
    <row r="114" spans="1:28" x14ac:dyDescent="0.2">
      <c r="A114" s="1" t="s">
        <v>490</v>
      </c>
      <c r="B114" s="1" t="s">
        <v>491</v>
      </c>
      <c r="C114" s="1" t="s">
        <v>470</v>
      </c>
      <c r="D114" s="1" t="s">
        <v>471</v>
      </c>
      <c r="E114" s="1" t="s">
        <v>492</v>
      </c>
      <c r="F114" s="2" t="s">
        <v>493</v>
      </c>
      <c r="G114" s="147" t="s">
        <v>1063</v>
      </c>
      <c r="H114" s="25" t="s">
        <v>1996</v>
      </c>
      <c r="I114" s="26">
        <v>0</v>
      </c>
      <c r="J114" s="27" t="s">
        <v>2103</v>
      </c>
      <c r="K114" s="33">
        <v>0.498</v>
      </c>
      <c r="L114" s="20" t="str">
        <f>VLOOKUP(I114,'HSL categorization'!$A$2:$B$49,2,1)</f>
        <v>Red</v>
      </c>
      <c r="M114" s="20"/>
      <c r="N114" s="20" t="str">
        <f>VLOOKUP(VALUE(K114),'HSL categorization'!D:E,2,TRUE)</f>
        <v>Medium</v>
      </c>
      <c r="O114" s="20"/>
      <c r="P114" s="1" t="s">
        <v>1878</v>
      </c>
      <c r="Q114" s="1" t="s">
        <v>1854</v>
      </c>
      <c r="R114" s="1" t="s">
        <v>1821</v>
      </c>
      <c r="S114" s="1" t="s">
        <v>1816</v>
      </c>
      <c r="T114" s="1" t="s">
        <v>1834</v>
      </c>
      <c r="X114" t="s">
        <v>1152</v>
      </c>
      <c r="AA114">
        <v>4.5999999999999996</v>
      </c>
      <c r="AB114" t="s">
        <v>1870</v>
      </c>
    </row>
    <row r="115" spans="1:28" x14ac:dyDescent="0.2">
      <c r="A115" s="1" t="s">
        <v>494</v>
      </c>
      <c r="B115" s="1" t="s">
        <v>495</v>
      </c>
      <c r="C115" s="1" t="s">
        <v>470</v>
      </c>
      <c r="D115" s="1" t="s">
        <v>471</v>
      </c>
      <c r="E115" s="1" t="s">
        <v>496</v>
      </c>
      <c r="F115" s="2" t="s">
        <v>497</v>
      </c>
      <c r="G115" s="148" t="s">
        <v>1064</v>
      </c>
      <c r="H115" s="25" t="s">
        <v>1997</v>
      </c>
      <c r="I115" s="26">
        <v>0</v>
      </c>
      <c r="J115" s="27" t="s">
        <v>2103</v>
      </c>
      <c r="K115" s="33">
        <v>0.35299999999999998</v>
      </c>
      <c r="L115" s="20" t="str">
        <f>VLOOKUP(I115,'HSL categorization'!$A$2:$B$49,2,1)</f>
        <v>Red</v>
      </c>
      <c r="M115" s="20"/>
      <c r="N115" s="20" t="str">
        <f>VLOOKUP(VALUE(K115),'HSL categorization'!D:E,2,TRUE)</f>
        <v>Dark</v>
      </c>
      <c r="O115" s="20"/>
      <c r="P115" s="1" t="s">
        <v>1878</v>
      </c>
      <c r="Q115" s="1" t="s">
        <v>1854</v>
      </c>
      <c r="R115" s="1" t="s">
        <v>1821</v>
      </c>
      <c r="S115" s="1" t="s">
        <v>1816</v>
      </c>
      <c r="T115" s="1" t="s">
        <v>1834</v>
      </c>
      <c r="X115" t="s">
        <v>1152</v>
      </c>
      <c r="AA115">
        <v>4.5999999999999996</v>
      </c>
      <c r="AB115" t="s">
        <v>1870</v>
      </c>
    </row>
    <row r="116" spans="1:28" x14ac:dyDescent="0.2">
      <c r="A116" s="1" t="s">
        <v>498</v>
      </c>
      <c r="B116" s="1" t="s">
        <v>499</v>
      </c>
      <c r="C116" s="1" t="s">
        <v>470</v>
      </c>
      <c r="D116" s="1" t="s">
        <v>471</v>
      </c>
      <c r="E116" s="1" t="s">
        <v>500</v>
      </c>
      <c r="F116" s="2" t="s">
        <v>501</v>
      </c>
      <c r="G116" s="149" t="s">
        <v>1065</v>
      </c>
      <c r="H116" s="25" t="s">
        <v>1998</v>
      </c>
      <c r="I116" s="26">
        <v>356</v>
      </c>
      <c r="J116" s="27" t="s">
        <v>2103</v>
      </c>
      <c r="K116" s="33">
        <v>0.433</v>
      </c>
      <c r="L116" s="20" t="str">
        <f>VLOOKUP(I116,'HSL categorization'!$A$2:$B$49,2,1)</f>
        <v>Amaranth</v>
      </c>
      <c r="M116" s="20"/>
      <c r="N116" s="20" t="str">
        <f>VLOOKUP(VALUE(K116),'HSL categorization'!D:E,2,TRUE)</f>
        <v>Medium</v>
      </c>
      <c r="O116" s="20"/>
      <c r="P116" s="1" t="s">
        <v>1878</v>
      </c>
      <c r="Q116" s="1" t="s">
        <v>1854</v>
      </c>
      <c r="R116" s="1" t="s">
        <v>1821</v>
      </c>
      <c r="S116" s="1" t="s">
        <v>1816</v>
      </c>
      <c r="T116" s="1" t="s">
        <v>1834</v>
      </c>
      <c r="X116" t="s">
        <v>1152</v>
      </c>
      <c r="AA116">
        <v>4.5999999999999996</v>
      </c>
      <c r="AB116" t="s">
        <v>1870</v>
      </c>
    </row>
    <row r="117" spans="1:28" x14ac:dyDescent="0.2">
      <c r="A117" s="1" t="s">
        <v>502</v>
      </c>
      <c r="B117" s="1" t="s">
        <v>503</v>
      </c>
      <c r="C117" s="1" t="s">
        <v>470</v>
      </c>
      <c r="D117" s="1" t="s">
        <v>471</v>
      </c>
      <c r="E117" s="1" t="s">
        <v>504</v>
      </c>
      <c r="F117" s="2" t="s">
        <v>505</v>
      </c>
      <c r="G117" s="150" t="s">
        <v>1066</v>
      </c>
      <c r="H117" s="25" t="s">
        <v>1999</v>
      </c>
      <c r="I117" s="26">
        <v>336</v>
      </c>
      <c r="J117" s="27" t="s">
        <v>2103</v>
      </c>
      <c r="K117" s="33">
        <v>0.41599999999999998</v>
      </c>
      <c r="L117" s="20" t="str">
        <f>VLOOKUP(I117,'HSL categorization'!$A$2:$B$49,2,1)</f>
        <v>Rose</v>
      </c>
      <c r="M117" s="20"/>
      <c r="N117" s="20" t="str">
        <f>VLOOKUP(VALUE(K117),'HSL categorization'!D:E,2,TRUE)</f>
        <v>Medium</v>
      </c>
      <c r="O117" s="20"/>
      <c r="P117" s="1" t="s">
        <v>1878</v>
      </c>
      <c r="Q117" s="1" t="s">
        <v>1854</v>
      </c>
      <c r="R117" s="1" t="s">
        <v>1821</v>
      </c>
      <c r="S117" s="1" t="s">
        <v>1816</v>
      </c>
      <c r="T117" s="1" t="s">
        <v>1834</v>
      </c>
      <c r="X117" t="s">
        <v>1152</v>
      </c>
      <c r="AA117">
        <v>4.5999999999999996</v>
      </c>
      <c r="AB117" t="s">
        <v>1870</v>
      </c>
    </row>
    <row r="118" spans="1:28" x14ac:dyDescent="0.2">
      <c r="A118" s="1" t="s">
        <v>506</v>
      </c>
      <c r="B118" s="1" t="s">
        <v>507</v>
      </c>
      <c r="C118" s="1" t="s">
        <v>470</v>
      </c>
      <c r="D118" s="1" t="s">
        <v>471</v>
      </c>
      <c r="E118" s="1" t="s">
        <v>508</v>
      </c>
      <c r="F118" s="13" t="s">
        <v>509</v>
      </c>
      <c r="G118" s="151" t="s">
        <v>1067</v>
      </c>
      <c r="H118" s="25" t="s">
        <v>2000</v>
      </c>
      <c r="I118" s="26">
        <v>357</v>
      </c>
      <c r="J118" s="27" t="s">
        <v>2156</v>
      </c>
      <c r="K118" s="33">
        <v>0.27600000000000002</v>
      </c>
      <c r="L118" s="20" t="str">
        <f>VLOOKUP(I118,'HSL categorization'!$A$2:$B$49,2,1)</f>
        <v>Amaranth</v>
      </c>
      <c r="M118" s="20"/>
      <c r="N118" s="20" t="str">
        <f>VLOOKUP(VALUE(K118),'HSL categorization'!D:E,2,TRUE)</f>
        <v>Dark</v>
      </c>
      <c r="O118" s="20"/>
      <c r="P118" s="1" t="s">
        <v>1878</v>
      </c>
      <c r="Q118" s="1" t="s">
        <v>1854</v>
      </c>
      <c r="R118" s="1" t="s">
        <v>1821</v>
      </c>
      <c r="S118" s="1" t="s">
        <v>1816</v>
      </c>
      <c r="T118" s="1" t="s">
        <v>1834</v>
      </c>
      <c r="X118" t="s">
        <v>1152</v>
      </c>
      <c r="AA118">
        <v>4.5999999999999996</v>
      </c>
      <c r="AB118" t="s">
        <v>1870</v>
      </c>
    </row>
    <row r="119" spans="1:28" x14ac:dyDescent="0.2">
      <c r="A119" s="1" t="s">
        <v>510</v>
      </c>
      <c r="B119" s="1" t="s">
        <v>511</v>
      </c>
      <c r="C119" s="1" t="s">
        <v>470</v>
      </c>
      <c r="D119" s="1" t="s">
        <v>471</v>
      </c>
      <c r="E119" s="1" t="s">
        <v>512</v>
      </c>
      <c r="F119" s="2" t="s">
        <v>513</v>
      </c>
      <c r="G119" s="152" t="s">
        <v>1068</v>
      </c>
      <c r="H119" s="25" t="s">
        <v>2001</v>
      </c>
      <c r="I119" s="26">
        <v>355</v>
      </c>
      <c r="J119" s="27" t="s">
        <v>2103</v>
      </c>
      <c r="K119" s="33">
        <v>0.61199999999999999</v>
      </c>
      <c r="L119" s="20" t="str">
        <f>VLOOKUP(I119,'HSL categorization'!$A$2:$B$49,2,1)</f>
        <v>Amaranth</v>
      </c>
      <c r="M119" s="20"/>
      <c r="N119" s="20" t="str">
        <f>VLOOKUP(VALUE(K119),'HSL categorization'!D:E,2,TRUE)</f>
        <v>Medium</v>
      </c>
      <c r="O119" s="20"/>
      <c r="P119" s="1" t="s">
        <v>1878</v>
      </c>
      <c r="Q119" s="1" t="s">
        <v>1854</v>
      </c>
      <c r="R119" s="1" t="s">
        <v>1821</v>
      </c>
      <c r="S119" s="1" t="s">
        <v>1816</v>
      </c>
      <c r="T119" s="1" t="s">
        <v>1834</v>
      </c>
      <c r="X119" t="s">
        <v>1152</v>
      </c>
      <c r="AA119">
        <v>4.5999999999999996</v>
      </c>
      <c r="AB119" t="s">
        <v>1870</v>
      </c>
    </row>
    <row r="120" spans="1:28" x14ac:dyDescent="0.2">
      <c r="A120" s="1" t="s">
        <v>514</v>
      </c>
      <c r="B120" s="1" t="s">
        <v>515</v>
      </c>
      <c r="C120" s="1" t="s">
        <v>470</v>
      </c>
      <c r="D120" s="1" t="s">
        <v>471</v>
      </c>
      <c r="E120" s="1" t="s">
        <v>516</v>
      </c>
      <c r="F120" s="2" t="s">
        <v>517</v>
      </c>
      <c r="G120" s="153" t="s">
        <v>1069</v>
      </c>
      <c r="H120" s="25" t="s">
        <v>2002</v>
      </c>
      <c r="I120" s="26">
        <v>11</v>
      </c>
      <c r="J120" s="27" t="s">
        <v>2103</v>
      </c>
      <c r="K120" s="33">
        <v>0.5</v>
      </c>
      <c r="L120" s="20" t="str">
        <f>VLOOKUP(I120,'HSL categorization'!$A$2:$B$49,2,1)</f>
        <v>Scarlet</v>
      </c>
      <c r="M120" s="20"/>
      <c r="N120" s="20" t="str">
        <f>VLOOKUP(VALUE(K120),'HSL categorization'!D:E,2,TRUE)</f>
        <v>Medium</v>
      </c>
      <c r="O120" s="20"/>
      <c r="P120" s="1" t="s">
        <v>1878</v>
      </c>
      <c r="Q120" s="1" t="s">
        <v>1854</v>
      </c>
      <c r="R120" s="1" t="s">
        <v>1821</v>
      </c>
      <c r="S120" s="1" t="s">
        <v>1816</v>
      </c>
      <c r="T120" s="1" t="s">
        <v>1834</v>
      </c>
      <c r="X120" t="s">
        <v>1152</v>
      </c>
      <c r="AA120">
        <v>4.5999999999999996</v>
      </c>
      <c r="AB120" t="s">
        <v>1870</v>
      </c>
    </row>
    <row r="121" spans="1:28" x14ac:dyDescent="0.2">
      <c r="A121" s="1" t="s">
        <v>518</v>
      </c>
      <c r="B121" s="1" t="s">
        <v>519</v>
      </c>
      <c r="C121" s="1" t="s">
        <v>470</v>
      </c>
      <c r="D121" s="1" t="s">
        <v>471</v>
      </c>
      <c r="E121" s="1" t="s">
        <v>520</v>
      </c>
      <c r="F121" s="2" t="s">
        <v>521</v>
      </c>
      <c r="G121" s="154" t="s">
        <v>1070</v>
      </c>
      <c r="H121" s="25" t="s">
        <v>2003</v>
      </c>
      <c r="I121" s="26">
        <v>11</v>
      </c>
      <c r="J121" s="27" t="s">
        <v>2103</v>
      </c>
      <c r="K121" s="33">
        <v>0.55700000000000005</v>
      </c>
      <c r="L121" s="20" t="str">
        <f>VLOOKUP(I121,'HSL categorization'!$A$2:$B$49,2,1)</f>
        <v>Scarlet</v>
      </c>
      <c r="M121" s="20"/>
      <c r="N121" s="20" t="str">
        <f>VLOOKUP(VALUE(K121),'HSL categorization'!D:E,2,TRUE)</f>
        <v>Medium</v>
      </c>
      <c r="O121" s="20"/>
      <c r="P121" s="1" t="s">
        <v>1878</v>
      </c>
      <c r="Q121" s="1" t="s">
        <v>1854</v>
      </c>
      <c r="R121" s="1" t="s">
        <v>1821</v>
      </c>
      <c r="S121" s="1" t="s">
        <v>1816</v>
      </c>
      <c r="T121" s="1" t="s">
        <v>1834</v>
      </c>
      <c r="X121" t="s">
        <v>1152</v>
      </c>
      <c r="AA121">
        <v>4.5999999999999996</v>
      </c>
      <c r="AB121" t="s">
        <v>1870</v>
      </c>
    </row>
    <row r="122" spans="1:28" x14ac:dyDescent="0.2">
      <c r="A122" s="1" t="s">
        <v>522</v>
      </c>
      <c r="B122" s="1" t="s">
        <v>523</v>
      </c>
      <c r="C122" s="1" t="s">
        <v>470</v>
      </c>
      <c r="D122" s="1" t="s">
        <v>471</v>
      </c>
      <c r="E122" s="1" t="s">
        <v>524</v>
      </c>
      <c r="F122" s="2" t="s">
        <v>525</v>
      </c>
      <c r="G122" s="155" t="s">
        <v>1071</v>
      </c>
      <c r="H122" s="25" t="s">
        <v>2004</v>
      </c>
      <c r="I122" s="26">
        <v>10</v>
      </c>
      <c r="J122" s="27" t="s">
        <v>2103</v>
      </c>
      <c r="K122" s="33">
        <v>0.318</v>
      </c>
      <c r="L122" s="20" t="str">
        <f>VLOOKUP(I122,'HSL categorization'!$A$2:$B$49,2,1)</f>
        <v>Scarlet</v>
      </c>
      <c r="M122" s="20"/>
      <c r="N122" s="20" t="str">
        <f>VLOOKUP(VALUE(K122),'HSL categorization'!D:E,2,TRUE)</f>
        <v>Dark</v>
      </c>
      <c r="O122" s="20"/>
      <c r="P122" s="1" t="s">
        <v>1878</v>
      </c>
      <c r="Q122" s="1" t="s">
        <v>1854</v>
      </c>
      <c r="R122" s="1" t="s">
        <v>1821</v>
      </c>
      <c r="S122" s="1" t="s">
        <v>1816</v>
      </c>
      <c r="T122" s="1" t="s">
        <v>1834</v>
      </c>
      <c r="X122" t="s">
        <v>1152</v>
      </c>
      <c r="AA122">
        <v>4.5999999999999996</v>
      </c>
      <c r="AB122" t="s">
        <v>1870</v>
      </c>
    </row>
    <row r="123" spans="1:28" x14ac:dyDescent="0.2">
      <c r="A123" s="1" t="s">
        <v>526</v>
      </c>
      <c r="B123" s="1" t="s">
        <v>527</v>
      </c>
      <c r="C123" s="1" t="s">
        <v>470</v>
      </c>
      <c r="D123" s="1" t="s">
        <v>471</v>
      </c>
      <c r="E123" s="1" t="s">
        <v>528</v>
      </c>
      <c r="F123" s="13" t="s">
        <v>529</v>
      </c>
      <c r="G123" s="156" t="s">
        <v>1072</v>
      </c>
      <c r="H123" s="25" t="s">
        <v>2005</v>
      </c>
      <c r="I123" s="26">
        <v>345</v>
      </c>
      <c r="J123" s="27" t="s">
        <v>2157</v>
      </c>
      <c r="K123" s="33">
        <v>0.32400000000000001</v>
      </c>
      <c r="L123" s="20" t="str">
        <f>VLOOKUP(I123,'HSL categorization'!$A$2:$B$49,2,1)</f>
        <v>Crimson</v>
      </c>
      <c r="M123" s="20"/>
      <c r="N123" s="20" t="str">
        <f>VLOOKUP(VALUE(K123),'HSL categorization'!D:E,2,TRUE)</f>
        <v>Dark</v>
      </c>
      <c r="O123" s="20"/>
      <c r="P123" s="1" t="s">
        <v>1878</v>
      </c>
      <c r="Q123" s="1" t="s">
        <v>1854</v>
      </c>
      <c r="R123" s="1" t="s">
        <v>1821</v>
      </c>
      <c r="S123" s="1" t="s">
        <v>1816</v>
      </c>
      <c r="T123" s="1" t="s">
        <v>1834</v>
      </c>
      <c r="X123" t="s">
        <v>1152</v>
      </c>
      <c r="AA123">
        <v>4.5999999999999996</v>
      </c>
      <c r="AB123" t="s">
        <v>1870</v>
      </c>
    </row>
    <row r="124" spans="1:28" x14ac:dyDescent="0.2">
      <c r="A124" s="1" t="s">
        <v>530</v>
      </c>
      <c r="B124" s="1" t="s">
        <v>531</v>
      </c>
      <c r="C124" s="1" t="s">
        <v>532</v>
      </c>
      <c r="D124" s="1" t="s">
        <v>533</v>
      </c>
      <c r="E124" s="1" t="s">
        <v>534</v>
      </c>
      <c r="F124" s="13" t="s">
        <v>535</v>
      </c>
      <c r="G124" s="157" t="s">
        <v>963</v>
      </c>
      <c r="H124" s="25" t="s">
        <v>2006</v>
      </c>
      <c r="I124" s="26">
        <v>348</v>
      </c>
      <c r="J124" s="27" t="s">
        <v>2089</v>
      </c>
      <c r="K124" s="33">
        <v>0.73899999999999999</v>
      </c>
      <c r="L124" s="20" t="str">
        <f>VLOOKUP(I124,'HSL categorization'!$A$2:$B$49,2,1)</f>
        <v>Crimson</v>
      </c>
      <c r="M124" s="20"/>
      <c r="N124" s="20" t="str">
        <f>VLOOKUP(VALUE(K124),'HSL categorization'!D:E,2,TRUE)</f>
        <v>Light</v>
      </c>
      <c r="O124" s="20"/>
      <c r="P124" s="1" t="s">
        <v>1878</v>
      </c>
      <c r="Q124" s="1" t="s">
        <v>1829</v>
      </c>
      <c r="R124" s="1" t="s">
        <v>1821</v>
      </c>
      <c r="S124" s="1" t="s">
        <v>1816</v>
      </c>
      <c r="T124" s="1" t="s">
        <v>1834</v>
      </c>
      <c r="X124" t="s">
        <v>1859</v>
      </c>
      <c r="AA124">
        <v>4.8</v>
      </c>
      <c r="AB124" t="s">
        <v>1853</v>
      </c>
    </row>
    <row r="125" spans="1:28" x14ac:dyDescent="0.2">
      <c r="A125" s="1" t="s">
        <v>536</v>
      </c>
      <c r="B125" s="1" t="s">
        <v>537</v>
      </c>
      <c r="C125" s="1" t="s">
        <v>532</v>
      </c>
      <c r="D125" s="1" t="s">
        <v>533</v>
      </c>
      <c r="E125" s="1" t="s">
        <v>538</v>
      </c>
      <c r="F125" s="13" t="s">
        <v>539</v>
      </c>
      <c r="G125" s="158" t="s">
        <v>964</v>
      </c>
      <c r="H125" s="25" t="s">
        <v>2007</v>
      </c>
      <c r="I125" s="26">
        <v>357</v>
      </c>
      <c r="J125" s="27" t="s">
        <v>2158</v>
      </c>
      <c r="K125" s="33">
        <v>0.56899999999999995</v>
      </c>
      <c r="L125" s="20" t="str">
        <f>VLOOKUP(I125,'HSL categorization'!$A$2:$B$49,2,1)</f>
        <v>Amaranth</v>
      </c>
      <c r="M125" s="20"/>
      <c r="N125" s="20" t="str">
        <f>VLOOKUP(VALUE(K125),'HSL categorization'!D:E,2,TRUE)</f>
        <v>Medium</v>
      </c>
      <c r="O125" s="20"/>
      <c r="P125" s="1" t="s">
        <v>1878</v>
      </c>
      <c r="Q125" s="1" t="s">
        <v>1829</v>
      </c>
      <c r="R125" s="1" t="s">
        <v>1821</v>
      </c>
      <c r="S125" s="1" t="s">
        <v>1816</v>
      </c>
      <c r="T125" s="1" t="s">
        <v>1834</v>
      </c>
      <c r="X125" t="s">
        <v>1859</v>
      </c>
      <c r="AA125">
        <v>4.8</v>
      </c>
      <c r="AB125" t="s">
        <v>1853</v>
      </c>
    </row>
    <row r="126" spans="1:28" x14ac:dyDescent="0.2">
      <c r="A126" s="1" t="s">
        <v>540</v>
      </c>
      <c r="B126" s="1" t="s">
        <v>541</v>
      </c>
      <c r="C126" s="1" t="s">
        <v>532</v>
      </c>
      <c r="D126" s="1" t="s">
        <v>533</v>
      </c>
      <c r="E126" s="1" t="s">
        <v>542</v>
      </c>
      <c r="F126" s="13" t="s">
        <v>543</v>
      </c>
      <c r="G126" s="159" t="s">
        <v>965</v>
      </c>
      <c r="H126" s="25" t="s">
        <v>2008</v>
      </c>
      <c r="I126" s="26">
        <v>353</v>
      </c>
      <c r="J126" s="27" t="s">
        <v>2159</v>
      </c>
      <c r="K126" s="33">
        <v>0.70399999999999996</v>
      </c>
      <c r="L126" s="20" t="str">
        <f>VLOOKUP(I126,'HSL categorization'!$A$2:$B$49,2,1)</f>
        <v>Amaranth</v>
      </c>
      <c r="M126" s="20"/>
      <c r="N126" s="20" t="str">
        <f>VLOOKUP(VALUE(K126),'HSL categorization'!D:E,2,TRUE)</f>
        <v>Light</v>
      </c>
      <c r="O126" s="20"/>
      <c r="P126" s="1" t="s">
        <v>1878</v>
      </c>
      <c r="Q126" s="1" t="s">
        <v>1829</v>
      </c>
      <c r="R126" s="1" t="s">
        <v>1821</v>
      </c>
      <c r="S126" s="1" t="s">
        <v>1816</v>
      </c>
      <c r="T126" s="1" t="s">
        <v>1834</v>
      </c>
      <c r="X126" t="s">
        <v>1859</v>
      </c>
      <c r="AA126">
        <v>4.8</v>
      </c>
      <c r="AB126" t="s">
        <v>1853</v>
      </c>
    </row>
    <row r="127" spans="1:28" x14ac:dyDescent="0.2">
      <c r="A127" s="1" t="s">
        <v>544</v>
      </c>
      <c r="B127" s="1" t="s">
        <v>545</v>
      </c>
      <c r="C127" s="1" t="s">
        <v>532</v>
      </c>
      <c r="D127" s="1" t="s">
        <v>533</v>
      </c>
      <c r="E127" s="1" t="s">
        <v>546</v>
      </c>
      <c r="F127" s="13" t="s">
        <v>547</v>
      </c>
      <c r="G127" s="160" t="s">
        <v>966</v>
      </c>
      <c r="H127" s="25" t="s">
        <v>2009</v>
      </c>
      <c r="I127" s="26">
        <v>352</v>
      </c>
      <c r="J127" s="27" t="s">
        <v>2160</v>
      </c>
      <c r="K127" s="33">
        <v>0.57299999999999995</v>
      </c>
      <c r="L127" s="20" t="str">
        <f>VLOOKUP(I127,'HSL categorization'!$A$2:$B$49,2,1)</f>
        <v>Crimson</v>
      </c>
      <c r="M127" s="20"/>
      <c r="N127" s="20" t="str">
        <f>VLOOKUP(VALUE(K127),'HSL categorization'!D:E,2,TRUE)</f>
        <v>Medium</v>
      </c>
      <c r="O127" s="20"/>
      <c r="P127" s="1" t="s">
        <v>1878</v>
      </c>
      <c r="Q127" s="1" t="s">
        <v>1829</v>
      </c>
      <c r="R127" s="1" t="s">
        <v>1821</v>
      </c>
      <c r="S127" s="1" t="s">
        <v>1816</v>
      </c>
      <c r="T127" s="1" t="s">
        <v>1834</v>
      </c>
      <c r="X127" t="s">
        <v>1859</v>
      </c>
      <c r="AA127">
        <v>4.8</v>
      </c>
      <c r="AB127" t="s">
        <v>1853</v>
      </c>
    </row>
    <row r="128" spans="1:28" x14ac:dyDescent="0.2">
      <c r="A128" s="1" t="s">
        <v>548</v>
      </c>
      <c r="B128" s="1" t="s">
        <v>549</v>
      </c>
      <c r="C128" s="1" t="s">
        <v>532</v>
      </c>
      <c r="D128" s="1" t="s">
        <v>533</v>
      </c>
      <c r="E128" s="1" t="s">
        <v>550</v>
      </c>
      <c r="F128" s="13" t="s">
        <v>551</v>
      </c>
      <c r="G128" s="161" t="s">
        <v>967</v>
      </c>
      <c r="H128" s="25" t="s">
        <v>2010</v>
      </c>
      <c r="I128" s="26">
        <v>347</v>
      </c>
      <c r="J128" s="27" t="s">
        <v>2161</v>
      </c>
      <c r="K128" s="33">
        <v>0.61599999999999999</v>
      </c>
      <c r="L128" s="20" t="str">
        <f>VLOOKUP(I128,'HSL categorization'!$A$2:$B$49,2,1)</f>
        <v>Crimson</v>
      </c>
      <c r="M128" s="20"/>
      <c r="N128" s="20" t="str">
        <f>VLOOKUP(VALUE(K128),'HSL categorization'!D:E,2,TRUE)</f>
        <v>Medium</v>
      </c>
      <c r="O128" s="20"/>
      <c r="P128" s="1" t="s">
        <v>1878</v>
      </c>
      <c r="Q128" s="1" t="s">
        <v>1829</v>
      </c>
      <c r="R128" s="1" t="s">
        <v>1821</v>
      </c>
      <c r="S128" s="1" t="s">
        <v>1816</v>
      </c>
      <c r="T128" s="1" t="s">
        <v>1834</v>
      </c>
      <c r="X128" t="s">
        <v>1859</v>
      </c>
      <c r="AA128">
        <v>4.8</v>
      </c>
      <c r="AB128" t="s">
        <v>1853</v>
      </c>
    </row>
    <row r="129" spans="1:28" x14ac:dyDescent="0.2">
      <c r="A129" s="1" t="s">
        <v>552</v>
      </c>
      <c r="B129" s="1" t="s">
        <v>553</v>
      </c>
      <c r="C129" s="1" t="s">
        <v>532</v>
      </c>
      <c r="D129" s="1" t="s">
        <v>533</v>
      </c>
      <c r="E129" s="1" t="s">
        <v>554</v>
      </c>
      <c r="F129" s="13" t="s">
        <v>555</v>
      </c>
      <c r="G129" s="162" t="s">
        <v>968</v>
      </c>
      <c r="H129" s="25" t="s">
        <v>2011</v>
      </c>
      <c r="I129" s="26">
        <v>343</v>
      </c>
      <c r="J129" s="27" t="s">
        <v>2162</v>
      </c>
      <c r="K129" s="33">
        <v>0.51400000000000001</v>
      </c>
      <c r="L129" s="20" t="str">
        <f>VLOOKUP(I129,'HSL categorization'!$A$2:$B$49,2,1)</f>
        <v>Raspberry</v>
      </c>
      <c r="M129" s="20"/>
      <c r="N129" s="20" t="str">
        <f>VLOOKUP(VALUE(K129),'HSL categorization'!D:E,2,TRUE)</f>
        <v>Medium</v>
      </c>
      <c r="O129" s="20"/>
      <c r="P129" s="1" t="s">
        <v>1878</v>
      </c>
      <c r="Q129" s="1" t="s">
        <v>1829</v>
      </c>
      <c r="R129" s="1" t="s">
        <v>1821</v>
      </c>
      <c r="S129" s="1" t="s">
        <v>1816</v>
      </c>
      <c r="T129" s="1" t="s">
        <v>1834</v>
      </c>
      <c r="X129" t="s">
        <v>1859</v>
      </c>
      <c r="AA129">
        <v>4.8</v>
      </c>
      <c r="AB129" t="s">
        <v>1853</v>
      </c>
    </row>
    <row r="130" spans="1:28" x14ac:dyDescent="0.2">
      <c r="A130" s="1" t="s">
        <v>556</v>
      </c>
      <c r="B130" s="1" t="s">
        <v>557</v>
      </c>
      <c r="C130" s="1" t="s">
        <v>532</v>
      </c>
      <c r="D130" s="1" t="s">
        <v>533</v>
      </c>
      <c r="E130" s="1" t="s">
        <v>558</v>
      </c>
      <c r="F130" s="13" t="s">
        <v>559</v>
      </c>
      <c r="G130" s="163" t="s">
        <v>969</v>
      </c>
      <c r="H130" s="25" t="s">
        <v>2012</v>
      </c>
      <c r="I130" s="26">
        <v>345</v>
      </c>
      <c r="J130" s="27" t="s">
        <v>2163</v>
      </c>
      <c r="K130" s="33">
        <v>0.59799999999999998</v>
      </c>
      <c r="L130" s="20" t="str">
        <f>VLOOKUP(I130,'HSL categorization'!$A$2:$B$49,2,1)</f>
        <v>Crimson</v>
      </c>
      <c r="M130" s="20"/>
      <c r="N130" s="20" t="str">
        <f>VLOOKUP(VALUE(K130),'HSL categorization'!D:E,2,TRUE)</f>
        <v>Medium</v>
      </c>
      <c r="O130" s="20"/>
      <c r="P130" s="1" t="s">
        <v>1878</v>
      </c>
      <c r="Q130" s="1" t="s">
        <v>1829</v>
      </c>
      <c r="R130" s="1" t="s">
        <v>1821</v>
      </c>
      <c r="S130" s="1" t="s">
        <v>1816</v>
      </c>
      <c r="T130" s="1" t="s">
        <v>1834</v>
      </c>
      <c r="X130" t="s">
        <v>1859</v>
      </c>
      <c r="AA130">
        <v>4.8</v>
      </c>
      <c r="AB130" t="s">
        <v>1853</v>
      </c>
    </row>
    <row r="131" spans="1:28" x14ac:dyDescent="0.2">
      <c r="A131" s="1" t="s">
        <v>560</v>
      </c>
      <c r="B131" s="1" t="s">
        <v>561</v>
      </c>
      <c r="C131" s="1" t="s">
        <v>532</v>
      </c>
      <c r="D131" s="1" t="s">
        <v>533</v>
      </c>
      <c r="E131" s="1" t="s">
        <v>562</v>
      </c>
      <c r="F131" s="13" t="s">
        <v>563</v>
      </c>
      <c r="G131" s="164" t="s">
        <v>970</v>
      </c>
      <c r="H131" s="25" t="s">
        <v>2013</v>
      </c>
      <c r="I131" s="26">
        <v>10</v>
      </c>
      <c r="J131" s="27" t="s">
        <v>2164</v>
      </c>
      <c r="K131" s="33">
        <v>0.53300000000000003</v>
      </c>
      <c r="L131" s="20" t="str">
        <f>VLOOKUP(I131,'HSL categorization'!$A$2:$B$49,2,1)</f>
        <v>Scarlet</v>
      </c>
      <c r="M131" s="20"/>
      <c r="N131" s="20" t="str">
        <f>VLOOKUP(VALUE(K131),'HSL categorization'!D:E,2,TRUE)</f>
        <v>Medium</v>
      </c>
      <c r="O131" s="20"/>
      <c r="P131" s="1" t="s">
        <v>1878</v>
      </c>
      <c r="Q131" s="1" t="s">
        <v>1829</v>
      </c>
      <c r="R131" s="1" t="s">
        <v>1821</v>
      </c>
      <c r="S131" s="1" t="s">
        <v>1816</v>
      </c>
      <c r="T131" s="1" t="s">
        <v>1834</v>
      </c>
      <c r="X131" t="s">
        <v>1859</v>
      </c>
      <c r="AA131">
        <v>4.8</v>
      </c>
      <c r="AB131" t="s">
        <v>1853</v>
      </c>
    </row>
    <row r="132" spans="1:28" x14ac:dyDescent="0.2">
      <c r="A132" s="1" t="s">
        <v>564</v>
      </c>
      <c r="B132" s="1" t="s">
        <v>565</v>
      </c>
      <c r="C132" s="1" t="s">
        <v>532</v>
      </c>
      <c r="D132" s="1" t="s">
        <v>533</v>
      </c>
      <c r="E132" s="1" t="s">
        <v>566</v>
      </c>
      <c r="F132" s="13" t="s">
        <v>567</v>
      </c>
      <c r="G132" s="165" t="s">
        <v>971</v>
      </c>
      <c r="H132" s="25" t="s">
        <v>2014</v>
      </c>
      <c r="I132" s="26">
        <v>344</v>
      </c>
      <c r="J132" s="27" t="s">
        <v>2162</v>
      </c>
      <c r="K132" s="33">
        <v>0.56699999999999995</v>
      </c>
      <c r="L132" s="20" t="str">
        <f>VLOOKUP(I132,'HSL categorization'!$A$2:$B$49,2,1)</f>
        <v>Raspberry</v>
      </c>
      <c r="M132" s="20"/>
      <c r="N132" s="20" t="str">
        <f>VLOOKUP(VALUE(K132),'HSL categorization'!D:E,2,TRUE)</f>
        <v>Medium</v>
      </c>
      <c r="O132" s="20"/>
      <c r="P132" s="1" t="s">
        <v>1878</v>
      </c>
      <c r="Q132" s="1" t="s">
        <v>1829</v>
      </c>
      <c r="R132" s="1" t="s">
        <v>1821</v>
      </c>
      <c r="S132" s="1" t="s">
        <v>1816</v>
      </c>
      <c r="T132" s="1" t="s">
        <v>1834</v>
      </c>
      <c r="X132" t="s">
        <v>1859</v>
      </c>
      <c r="AA132">
        <v>4.8</v>
      </c>
      <c r="AB132" t="s">
        <v>1853</v>
      </c>
    </row>
    <row r="133" spans="1:28" x14ac:dyDescent="0.2">
      <c r="A133" s="1" t="s">
        <v>568</v>
      </c>
      <c r="B133" s="1" t="s">
        <v>569</v>
      </c>
      <c r="C133" s="1" t="s">
        <v>532</v>
      </c>
      <c r="D133" s="1" t="s">
        <v>533</v>
      </c>
      <c r="E133" s="1" t="s">
        <v>570</v>
      </c>
      <c r="F133" s="2" t="s">
        <v>571</v>
      </c>
      <c r="G133" s="166" t="s">
        <v>972</v>
      </c>
      <c r="H133" s="25" t="s">
        <v>2015</v>
      </c>
      <c r="I133" s="26">
        <v>356</v>
      </c>
      <c r="J133" s="27" t="s">
        <v>2165</v>
      </c>
      <c r="K133" s="33">
        <v>0.64900000000000002</v>
      </c>
      <c r="L133" s="20" t="str">
        <f>VLOOKUP(I133,'HSL categorization'!$A$2:$B$49,2,1)</f>
        <v>Amaranth</v>
      </c>
      <c r="M133" s="20"/>
      <c r="N133" s="20" t="str">
        <f>VLOOKUP(VALUE(K133),'HSL categorization'!D:E,2,TRUE)</f>
        <v>Medium</v>
      </c>
      <c r="O133" s="20"/>
      <c r="P133" s="1" t="s">
        <v>1878</v>
      </c>
      <c r="Q133" s="1" t="s">
        <v>1829</v>
      </c>
      <c r="R133" s="1" t="s">
        <v>1821</v>
      </c>
      <c r="S133" s="1" t="s">
        <v>1816</v>
      </c>
      <c r="T133" s="1" t="s">
        <v>1834</v>
      </c>
      <c r="X133" t="s">
        <v>1859</v>
      </c>
      <c r="AA133">
        <v>4.8</v>
      </c>
      <c r="AB133" t="s">
        <v>1853</v>
      </c>
    </row>
    <row r="134" spans="1:28" x14ac:dyDescent="0.2">
      <c r="A134" s="1" t="s">
        <v>572</v>
      </c>
      <c r="B134" s="1" t="s">
        <v>573</v>
      </c>
      <c r="C134" s="1" t="s">
        <v>532</v>
      </c>
      <c r="D134" s="1" t="s">
        <v>533</v>
      </c>
      <c r="E134" s="1" t="s">
        <v>574</v>
      </c>
      <c r="F134" s="2" t="s">
        <v>575</v>
      </c>
      <c r="G134" s="167" t="s">
        <v>973</v>
      </c>
      <c r="H134" s="25" t="s">
        <v>2016</v>
      </c>
      <c r="I134" s="26">
        <v>309</v>
      </c>
      <c r="J134" s="27" t="s">
        <v>2166</v>
      </c>
      <c r="K134" s="33">
        <v>0.76900000000000002</v>
      </c>
      <c r="L134" s="20" t="str">
        <f>VLOOKUP(I134,'HSL categorization'!$A$2:$B$49,2,1)</f>
        <v>Orchid</v>
      </c>
      <c r="M134" s="20"/>
      <c r="N134" s="20" t="str">
        <f>VLOOKUP(VALUE(K134),'HSL categorization'!D:E,2,TRUE)</f>
        <v>Light</v>
      </c>
      <c r="O134" s="20"/>
      <c r="P134" s="1" t="s">
        <v>1878</v>
      </c>
      <c r="Q134" s="1" t="s">
        <v>1829</v>
      </c>
      <c r="R134" s="1" t="s">
        <v>1821</v>
      </c>
      <c r="S134" s="1" t="s">
        <v>1816</v>
      </c>
      <c r="T134" s="1" t="s">
        <v>1834</v>
      </c>
      <c r="X134" t="s">
        <v>1859</v>
      </c>
      <c r="AA134">
        <v>4.8</v>
      </c>
      <c r="AB134" t="s">
        <v>1853</v>
      </c>
    </row>
    <row r="135" spans="1:28" x14ac:dyDescent="0.2">
      <c r="A135" s="1" t="s">
        <v>576</v>
      </c>
      <c r="B135" s="1" t="s">
        <v>577</v>
      </c>
      <c r="C135" s="1" t="s">
        <v>532</v>
      </c>
      <c r="D135" s="1" t="s">
        <v>533</v>
      </c>
      <c r="E135" s="1" t="s">
        <v>578</v>
      </c>
      <c r="F135" s="2" t="s">
        <v>579</v>
      </c>
      <c r="G135" s="168" t="s">
        <v>974</v>
      </c>
      <c r="H135" s="25" t="s">
        <v>2017</v>
      </c>
      <c r="I135" s="26">
        <v>359</v>
      </c>
      <c r="J135" s="27" t="s">
        <v>2167</v>
      </c>
      <c r="K135" s="33">
        <v>0.745</v>
      </c>
      <c r="L135" s="20" t="str">
        <f>VLOOKUP(I135,'HSL categorization'!$A$2:$B$49,2,1)</f>
        <v>Amaranth</v>
      </c>
      <c r="M135" s="20"/>
      <c r="N135" s="20" t="str">
        <f>VLOOKUP(VALUE(K135),'HSL categorization'!D:E,2,TRUE)</f>
        <v>Light</v>
      </c>
      <c r="O135" s="20"/>
      <c r="P135" s="1" t="s">
        <v>1878</v>
      </c>
      <c r="Q135" s="1" t="s">
        <v>1829</v>
      </c>
      <c r="R135" s="1" t="s">
        <v>1821</v>
      </c>
      <c r="S135" s="1" t="s">
        <v>1816</v>
      </c>
      <c r="T135" s="1" t="s">
        <v>1834</v>
      </c>
      <c r="X135" t="s">
        <v>1859</v>
      </c>
      <c r="AA135">
        <v>4.8</v>
      </c>
      <c r="AB135" t="s">
        <v>1853</v>
      </c>
    </row>
    <row r="136" spans="1:28" x14ac:dyDescent="0.2">
      <c r="A136" s="1" t="s">
        <v>580</v>
      </c>
      <c r="B136" s="1" t="s">
        <v>581</v>
      </c>
      <c r="C136" s="1" t="s">
        <v>582</v>
      </c>
      <c r="D136" s="1" t="s">
        <v>583</v>
      </c>
      <c r="E136" s="1" t="s">
        <v>584</v>
      </c>
      <c r="F136" s="13" t="s">
        <v>585</v>
      </c>
      <c r="G136" s="169" t="s">
        <v>897</v>
      </c>
      <c r="H136" s="25" t="s">
        <v>2018</v>
      </c>
      <c r="I136" s="26">
        <v>20</v>
      </c>
      <c r="J136" s="27" t="s">
        <v>2168</v>
      </c>
      <c r="K136" s="33">
        <v>0.314</v>
      </c>
      <c r="L136" s="20" t="str">
        <f>VLOOKUP(I136,'HSL categorization'!$A$2:$B$49,2,1)</f>
        <v>Vermilion</v>
      </c>
      <c r="M136" s="20"/>
      <c r="N136" s="20" t="str">
        <f>VLOOKUP(VALUE(K136),'HSL categorization'!D:E,2,TRUE)</f>
        <v>Dark</v>
      </c>
      <c r="O136" s="20"/>
      <c r="P136" s="1" t="s">
        <v>1879</v>
      </c>
      <c r="Q136" s="1" t="s">
        <v>1845</v>
      </c>
      <c r="R136" s="1" t="s">
        <v>1821</v>
      </c>
      <c r="S136" s="1" t="s">
        <v>1842</v>
      </c>
      <c r="T136" s="1" t="s">
        <v>1834</v>
      </c>
      <c r="X136" t="s">
        <v>1842</v>
      </c>
      <c r="AA136">
        <v>4.5999999999999996</v>
      </c>
      <c r="AB136" t="s">
        <v>1867</v>
      </c>
    </row>
    <row r="137" spans="1:28" x14ac:dyDescent="0.2">
      <c r="A137" s="1" t="s">
        <v>586</v>
      </c>
      <c r="B137" s="1" t="s">
        <v>587</v>
      </c>
      <c r="C137" s="1" t="s">
        <v>582</v>
      </c>
      <c r="D137" s="1" t="s">
        <v>583</v>
      </c>
      <c r="E137" s="1" t="s">
        <v>588</v>
      </c>
      <c r="F137" s="13" t="s">
        <v>589</v>
      </c>
      <c r="G137" s="170" t="s">
        <v>898</v>
      </c>
      <c r="H137" s="25" t="s">
        <v>2019</v>
      </c>
      <c r="I137" s="26">
        <v>19</v>
      </c>
      <c r="J137" s="27" t="s">
        <v>2169</v>
      </c>
      <c r="K137" s="33">
        <v>0.20200000000000001</v>
      </c>
      <c r="L137" s="20" t="str">
        <f>VLOOKUP(I137,'HSL categorization'!$A$2:$B$49,2,1)</f>
        <v>Vermilion</v>
      </c>
      <c r="M137" s="20"/>
      <c r="N137" s="20" t="str">
        <f>VLOOKUP(VALUE(K137),'HSL categorization'!D:E,2,TRUE)</f>
        <v>Dark</v>
      </c>
      <c r="O137" s="20"/>
      <c r="P137" s="1" t="s">
        <v>1879</v>
      </c>
      <c r="Q137" s="1" t="s">
        <v>1845</v>
      </c>
      <c r="R137" s="1" t="s">
        <v>1821</v>
      </c>
      <c r="S137" s="1" t="s">
        <v>1842</v>
      </c>
      <c r="T137" s="1" t="s">
        <v>1834</v>
      </c>
      <c r="X137" t="s">
        <v>1842</v>
      </c>
      <c r="AA137">
        <v>4.5999999999999996</v>
      </c>
      <c r="AB137" t="s">
        <v>1867</v>
      </c>
    </row>
    <row r="138" spans="1:28" x14ac:dyDescent="0.2">
      <c r="A138" s="1" t="s">
        <v>590</v>
      </c>
      <c r="B138" s="1" t="s">
        <v>591</v>
      </c>
      <c r="C138" s="1" t="s">
        <v>532</v>
      </c>
      <c r="D138" s="1" t="s">
        <v>533</v>
      </c>
      <c r="E138" s="1" t="s">
        <v>592</v>
      </c>
      <c r="F138" s="13" t="s">
        <v>593</v>
      </c>
      <c r="G138" s="171" t="s">
        <v>975</v>
      </c>
      <c r="H138" s="25" t="s">
        <v>2020</v>
      </c>
      <c r="I138" s="26">
        <v>207</v>
      </c>
      <c r="J138" s="27" t="s">
        <v>2170</v>
      </c>
      <c r="K138" s="33">
        <v>0.95099999999999996</v>
      </c>
      <c r="L138" s="20" t="str">
        <f>VLOOKUP(I138,'HSL categorization'!$A$2:$B$49,2,1)</f>
        <v>Cornflower blue</v>
      </c>
      <c r="M138" s="20"/>
      <c r="N138" s="20" t="str">
        <f>VLOOKUP(VALUE(K138),'HSL categorization'!D:E,2,TRUE)</f>
        <v>Light</v>
      </c>
      <c r="O138" s="20"/>
      <c r="P138" s="1" t="s">
        <v>1878</v>
      </c>
      <c r="Q138" s="1" t="s">
        <v>1829</v>
      </c>
      <c r="R138" s="1" t="s">
        <v>1821</v>
      </c>
      <c r="S138" s="1" t="s">
        <v>1816</v>
      </c>
      <c r="T138" s="1" t="s">
        <v>1834</v>
      </c>
      <c r="X138" t="s">
        <v>1859</v>
      </c>
      <c r="AA138">
        <v>4.8</v>
      </c>
      <c r="AB138" t="s">
        <v>1870</v>
      </c>
    </row>
    <row r="139" spans="1:28" x14ac:dyDescent="0.2">
      <c r="A139" s="1" t="s">
        <v>594</v>
      </c>
      <c r="B139" s="1" t="s">
        <v>595</v>
      </c>
      <c r="C139" s="1" t="s">
        <v>532</v>
      </c>
      <c r="D139" s="1" t="s">
        <v>533</v>
      </c>
      <c r="E139" s="1" t="s">
        <v>596</v>
      </c>
      <c r="F139" s="13" t="s">
        <v>597</v>
      </c>
      <c r="G139" s="172" t="s">
        <v>976</v>
      </c>
      <c r="H139" s="25" t="s">
        <v>2021</v>
      </c>
      <c r="I139" s="26">
        <v>13</v>
      </c>
      <c r="J139" s="27" t="s">
        <v>2171</v>
      </c>
      <c r="K139" s="33">
        <v>0.75900000000000001</v>
      </c>
      <c r="L139" s="20" t="str">
        <f>VLOOKUP(I139,'HSL categorization'!$A$2:$B$49,2,1)</f>
        <v>Scarlet</v>
      </c>
      <c r="M139" s="20"/>
      <c r="N139" s="20" t="str">
        <f>VLOOKUP(VALUE(K139),'HSL categorization'!D:E,2,TRUE)</f>
        <v>Light</v>
      </c>
      <c r="O139" s="20"/>
      <c r="P139" s="1" t="s">
        <v>1878</v>
      </c>
      <c r="Q139" s="1" t="s">
        <v>1829</v>
      </c>
      <c r="R139" s="1" t="s">
        <v>1821</v>
      </c>
      <c r="S139" s="1" t="s">
        <v>1816</v>
      </c>
      <c r="T139" s="1" t="s">
        <v>1834</v>
      </c>
      <c r="X139" t="s">
        <v>1859</v>
      </c>
      <c r="AA139">
        <v>4.8</v>
      </c>
      <c r="AB139" t="s">
        <v>1870</v>
      </c>
    </row>
    <row r="140" spans="1:28" x14ac:dyDescent="0.2">
      <c r="A140" s="1" t="s">
        <v>598</v>
      </c>
      <c r="B140" s="1" t="s">
        <v>599</v>
      </c>
      <c r="C140" s="1" t="s">
        <v>532</v>
      </c>
      <c r="D140" s="1" t="s">
        <v>533</v>
      </c>
      <c r="E140" s="1" t="s">
        <v>600</v>
      </c>
      <c r="F140" s="13" t="s">
        <v>601</v>
      </c>
      <c r="G140" s="173" t="s">
        <v>977</v>
      </c>
      <c r="H140" s="25" t="s">
        <v>2022</v>
      </c>
      <c r="I140" s="26">
        <v>7</v>
      </c>
      <c r="J140" s="27" t="s">
        <v>2172</v>
      </c>
      <c r="K140" s="33">
        <v>0.439</v>
      </c>
      <c r="L140" s="20" t="str">
        <f>VLOOKUP(I140,'HSL categorization'!$A$2:$B$49,2,1)</f>
        <v>Red</v>
      </c>
      <c r="M140" s="20"/>
      <c r="N140" s="20" t="str">
        <f>VLOOKUP(VALUE(K140),'HSL categorization'!D:E,2,TRUE)</f>
        <v>Medium</v>
      </c>
      <c r="O140" s="20"/>
      <c r="P140" s="1" t="s">
        <v>1878</v>
      </c>
      <c r="Q140" s="1" t="s">
        <v>1829</v>
      </c>
      <c r="R140" s="1" t="s">
        <v>1821</v>
      </c>
      <c r="S140" s="1" t="s">
        <v>1816</v>
      </c>
      <c r="T140" s="1" t="s">
        <v>1834</v>
      </c>
      <c r="X140" t="s">
        <v>1859</v>
      </c>
      <c r="AA140">
        <v>4.8</v>
      </c>
      <c r="AB140" t="s">
        <v>1870</v>
      </c>
    </row>
    <row r="141" spans="1:28" x14ac:dyDescent="0.2">
      <c r="A141" s="1" t="s">
        <v>602</v>
      </c>
      <c r="B141" s="1" t="s">
        <v>603</v>
      </c>
      <c r="C141" s="1" t="s">
        <v>604</v>
      </c>
      <c r="D141" s="1" t="s">
        <v>605</v>
      </c>
      <c r="E141" s="1" t="s">
        <v>606</v>
      </c>
      <c r="F141" s="13" t="s">
        <v>607</v>
      </c>
      <c r="G141" s="174" t="s">
        <v>1057</v>
      </c>
      <c r="H141" s="25" t="s">
        <v>2023</v>
      </c>
      <c r="I141" s="26">
        <v>353</v>
      </c>
      <c r="J141" s="27" t="s">
        <v>2161</v>
      </c>
      <c r="K141" s="33">
        <v>0.68799999999999994</v>
      </c>
      <c r="L141" s="20" t="str">
        <f>VLOOKUP(I141,'HSL categorization'!$A$2:$B$49,2,1)</f>
        <v>Amaranth</v>
      </c>
      <c r="M141" s="20"/>
      <c r="N141" s="20" t="str">
        <f>VLOOKUP(VALUE(K141),'HSL categorization'!D:E,2,TRUE)</f>
        <v>Medium</v>
      </c>
      <c r="O141" s="20"/>
      <c r="P141" s="1" t="s">
        <v>1878</v>
      </c>
      <c r="Q141" s="1" t="s">
        <v>1854</v>
      </c>
      <c r="R141" s="1" t="s">
        <v>1821</v>
      </c>
      <c r="S141" s="1" t="s">
        <v>1847</v>
      </c>
      <c r="T141" s="1" t="s">
        <v>1834</v>
      </c>
      <c r="U141" s="1" t="s">
        <v>1831</v>
      </c>
      <c r="X141" t="s">
        <v>1152</v>
      </c>
      <c r="AA141">
        <v>4.8</v>
      </c>
      <c r="AB141" t="s">
        <v>1833</v>
      </c>
    </row>
    <row r="142" spans="1:28" x14ac:dyDescent="0.2">
      <c r="A142" s="1" t="s">
        <v>608</v>
      </c>
      <c r="B142" s="1" t="s">
        <v>609</v>
      </c>
      <c r="C142" s="1" t="s">
        <v>532</v>
      </c>
      <c r="D142" s="1" t="s">
        <v>533</v>
      </c>
      <c r="E142" s="1" t="s">
        <v>610</v>
      </c>
      <c r="F142" s="13" t="s">
        <v>611</v>
      </c>
      <c r="G142" s="175" t="s">
        <v>978</v>
      </c>
      <c r="H142" s="25" t="s">
        <v>2024</v>
      </c>
      <c r="I142" s="26">
        <v>350</v>
      </c>
      <c r="J142" s="27" t="s">
        <v>2173</v>
      </c>
      <c r="K142" s="33">
        <v>0.68400000000000005</v>
      </c>
      <c r="L142" s="20" t="str">
        <f>VLOOKUP(I142,'HSL categorization'!$A$2:$B$49,2,1)</f>
        <v>Crimson</v>
      </c>
      <c r="M142" s="20"/>
      <c r="N142" s="20" t="str">
        <f>VLOOKUP(VALUE(K142),'HSL categorization'!D:E,2,TRUE)</f>
        <v>Medium</v>
      </c>
      <c r="O142" s="20"/>
      <c r="P142" s="1" t="s">
        <v>1878</v>
      </c>
      <c r="Q142" s="1" t="s">
        <v>1829</v>
      </c>
      <c r="R142" s="1" t="s">
        <v>1821</v>
      </c>
      <c r="S142" s="1" t="s">
        <v>1816</v>
      </c>
      <c r="T142" s="1" t="s">
        <v>1834</v>
      </c>
      <c r="X142" t="s">
        <v>1152</v>
      </c>
      <c r="AA142">
        <v>4.8</v>
      </c>
      <c r="AB142" t="s">
        <v>1870</v>
      </c>
    </row>
    <row r="143" spans="1:28" x14ac:dyDescent="0.2">
      <c r="A143" s="1" t="s">
        <v>612</v>
      </c>
      <c r="B143" s="1" t="s">
        <v>613</v>
      </c>
      <c r="C143" s="1" t="s">
        <v>48</v>
      </c>
      <c r="D143" s="1" t="s">
        <v>49</v>
      </c>
      <c r="E143" s="1" t="s">
        <v>614</v>
      </c>
      <c r="F143" s="13" t="s">
        <v>615</v>
      </c>
      <c r="G143" s="176" t="s">
        <v>1010</v>
      </c>
      <c r="H143" s="25" t="s">
        <v>2025</v>
      </c>
      <c r="I143" s="26">
        <v>330</v>
      </c>
      <c r="J143" s="27" t="s">
        <v>2174</v>
      </c>
      <c r="K143" s="33">
        <v>0.34899999999999998</v>
      </c>
      <c r="L143" s="20" t="str">
        <f>VLOOKUP(I143,'HSL categorization'!$A$2:$B$49,2,1)</f>
        <v>Rose</v>
      </c>
      <c r="M143" s="20"/>
      <c r="N143" s="20" t="str">
        <f>VLOOKUP(VALUE(K143),'HSL categorization'!D:E,2,TRUE)</f>
        <v>Dark</v>
      </c>
      <c r="O143" s="20"/>
      <c r="P143" s="1" t="s">
        <v>1878</v>
      </c>
      <c r="Q143" s="1" t="s">
        <v>1835</v>
      </c>
      <c r="R143" s="1" t="s">
        <v>1821</v>
      </c>
      <c r="S143" s="1" t="s">
        <v>1823</v>
      </c>
      <c r="T143" s="1" t="s">
        <v>1834</v>
      </c>
      <c r="U143" s="1" t="s">
        <v>1831</v>
      </c>
      <c r="V143" s="1" t="s">
        <v>1839</v>
      </c>
      <c r="X143" t="s">
        <v>1859</v>
      </c>
      <c r="AA143">
        <v>4.5999999999999996</v>
      </c>
      <c r="AB143" t="s">
        <v>1833</v>
      </c>
    </row>
    <row r="144" spans="1:28" x14ac:dyDescent="0.2">
      <c r="A144" s="1" t="s">
        <v>616</v>
      </c>
      <c r="B144" s="1" t="s">
        <v>617</v>
      </c>
      <c r="C144" s="1" t="s">
        <v>618</v>
      </c>
      <c r="D144" s="1" t="s">
        <v>619</v>
      </c>
      <c r="E144" s="1" t="s">
        <v>620</v>
      </c>
      <c r="F144" s="13" t="s">
        <v>621</v>
      </c>
      <c r="G144" s="177" t="s">
        <v>1050</v>
      </c>
      <c r="H144" s="25" t="s">
        <v>2026</v>
      </c>
      <c r="I144" s="26">
        <v>356</v>
      </c>
      <c r="J144" s="27" t="s">
        <v>2175</v>
      </c>
      <c r="K144" s="33">
        <v>0.63500000000000001</v>
      </c>
      <c r="L144" s="20" t="str">
        <f>VLOOKUP(I144,'HSL categorization'!$A$2:$B$49,2,1)</f>
        <v>Amaranth</v>
      </c>
      <c r="M144" s="20"/>
      <c r="N144" s="20" t="str">
        <f>VLOOKUP(VALUE(K144),'HSL categorization'!D:E,2,TRUE)</f>
        <v>Medium</v>
      </c>
      <c r="O144" s="20"/>
      <c r="P144" s="1" t="s">
        <v>1878</v>
      </c>
      <c r="Q144" s="1" t="s">
        <v>1829</v>
      </c>
      <c r="R144" s="1" t="s">
        <v>1821</v>
      </c>
      <c r="S144" s="1" t="s">
        <v>1816</v>
      </c>
      <c r="T144" s="1" t="s">
        <v>1834</v>
      </c>
      <c r="X144" t="s">
        <v>1852</v>
      </c>
      <c r="AA144">
        <v>4.5999999999999996</v>
      </c>
      <c r="AB144" t="s">
        <v>1870</v>
      </c>
    </row>
    <row r="145" spans="1:28" x14ac:dyDescent="0.2">
      <c r="A145" s="1" t="s">
        <v>622</v>
      </c>
      <c r="B145" s="1" t="s">
        <v>623</v>
      </c>
      <c r="C145" s="1" t="s">
        <v>618</v>
      </c>
      <c r="D145" s="1" t="s">
        <v>619</v>
      </c>
      <c r="E145" s="1" t="s">
        <v>624</v>
      </c>
      <c r="F145" s="13" t="s">
        <v>625</v>
      </c>
      <c r="G145" s="178" t="s">
        <v>1051</v>
      </c>
      <c r="H145" s="25" t="s">
        <v>2027</v>
      </c>
      <c r="I145" s="26">
        <v>350</v>
      </c>
      <c r="J145" s="27" t="s">
        <v>2176</v>
      </c>
      <c r="K145" s="33">
        <v>0.57499999999999996</v>
      </c>
      <c r="L145" s="20" t="str">
        <f>VLOOKUP(I145,'HSL categorization'!$A$2:$B$49,2,1)</f>
        <v>Crimson</v>
      </c>
      <c r="M145" s="20"/>
      <c r="N145" s="20" t="str">
        <f>VLOOKUP(VALUE(K145),'HSL categorization'!D:E,2,TRUE)</f>
        <v>Medium</v>
      </c>
      <c r="O145" s="20"/>
      <c r="P145" s="1" t="s">
        <v>1878</v>
      </c>
      <c r="Q145" s="1" t="s">
        <v>1829</v>
      </c>
      <c r="R145" s="1" t="s">
        <v>1821</v>
      </c>
      <c r="S145" s="1" t="s">
        <v>1816</v>
      </c>
      <c r="T145" s="1" t="s">
        <v>1834</v>
      </c>
      <c r="X145" t="s">
        <v>1852</v>
      </c>
      <c r="AA145">
        <v>4.5999999999999996</v>
      </c>
      <c r="AB145" t="s">
        <v>1870</v>
      </c>
    </row>
    <row r="146" spans="1:28" x14ac:dyDescent="0.2">
      <c r="A146" s="1" t="s">
        <v>626</v>
      </c>
      <c r="B146" s="1" t="s">
        <v>627</v>
      </c>
      <c r="C146" s="1" t="s">
        <v>618</v>
      </c>
      <c r="D146" s="1" t="s">
        <v>619</v>
      </c>
      <c r="E146" s="1" t="s">
        <v>628</v>
      </c>
      <c r="F146" s="2" t="s">
        <v>629</v>
      </c>
      <c r="G146" s="179" t="s">
        <v>1052</v>
      </c>
      <c r="H146" s="25" t="s">
        <v>2028</v>
      </c>
      <c r="I146" s="26">
        <v>357</v>
      </c>
      <c r="J146" s="27" t="s">
        <v>2153</v>
      </c>
      <c r="K146" s="33">
        <v>0.45300000000000001</v>
      </c>
      <c r="L146" s="20" t="str">
        <f>VLOOKUP(I146,'HSL categorization'!$A$2:$B$49,2,1)</f>
        <v>Amaranth</v>
      </c>
      <c r="M146" s="20"/>
      <c r="N146" s="20" t="str">
        <f>VLOOKUP(VALUE(K146),'HSL categorization'!D:E,2,TRUE)</f>
        <v>Medium</v>
      </c>
      <c r="O146" s="20"/>
      <c r="P146" s="1" t="s">
        <v>1878</v>
      </c>
      <c r="Q146" s="1" t="s">
        <v>1829</v>
      </c>
      <c r="R146" s="1" t="s">
        <v>1821</v>
      </c>
      <c r="S146" s="1" t="s">
        <v>1816</v>
      </c>
      <c r="T146" s="1" t="s">
        <v>1834</v>
      </c>
      <c r="X146" t="s">
        <v>1852</v>
      </c>
      <c r="AA146">
        <v>4.5999999999999996</v>
      </c>
      <c r="AB146" t="s">
        <v>1870</v>
      </c>
    </row>
    <row r="147" spans="1:28" x14ac:dyDescent="0.2">
      <c r="A147" s="1" t="s">
        <v>630</v>
      </c>
      <c r="B147" s="1" t="s">
        <v>631</v>
      </c>
      <c r="C147" s="1" t="s">
        <v>618</v>
      </c>
      <c r="D147" s="1" t="s">
        <v>619</v>
      </c>
      <c r="E147" s="1" t="s">
        <v>632</v>
      </c>
      <c r="F147" s="13" t="s">
        <v>633</v>
      </c>
      <c r="G147" s="180" t="s">
        <v>1053</v>
      </c>
      <c r="H147" s="25" t="s">
        <v>2029</v>
      </c>
      <c r="I147" s="26">
        <v>344</v>
      </c>
      <c r="J147" s="27" t="s">
        <v>2103</v>
      </c>
      <c r="K147" s="33">
        <v>0.66900000000000004</v>
      </c>
      <c r="L147" s="20" t="str">
        <f>VLOOKUP(I147,'HSL categorization'!$A$2:$B$49,2,1)</f>
        <v>Raspberry</v>
      </c>
      <c r="M147" s="20"/>
      <c r="N147" s="20" t="str">
        <f>VLOOKUP(VALUE(K147),'HSL categorization'!D:E,2,TRUE)</f>
        <v>Medium</v>
      </c>
      <c r="O147" s="20"/>
      <c r="P147" s="1" t="s">
        <v>1878</v>
      </c>
      <c r="Q147" s="1" t="s">
        <v>1829</v>
      </c>
      <c r="R147" s="1" t="s">
        <v>1821</v>
      </c>
      <c r="S147" s="1" t="s">
        <v>1816</v>
      </c>
      <c r="T147" s="1" t="s">
        <v>1834</v>
      </c>
      <c r="X147" t="s">
        <v>1852</v>
      </c>
      <c r="AA147">
        <v>4.5999999999999996</v>
      </c>
      <c r="AB147" t="s">
        <v>1870</v>
      </c>
    </row>
    <row r="148" spans="1:28" x14ac:dyDescent="0.2">
      <c r="A148" s="1" t="s">
        <v>634</v>
      </c>
      <c r="B148" s="1" t="s">
        <v>635</v>
      </c>
      <c r="C148" s="1" t="s">
        <v>636</v>
      </c>
      <c r="D148" s="1" t="s">
        <v>637</v>
      </c>
      <c r="E148" s="1" t="s">
        <v>638</v>
      </c>
      <c r="F148" s="13" t="s">
        <v>639</v>
      </c>
      <c r="G148" s="181" t="s">
        <v>958</v>
      </c>
      <c r="H148" s="25" t="s">
        <v>2030</v>
      </c>
      <c r="I148" s="26">
        <v>36</v>
      </c>
      <c r="J148" s="27" t="s">
        <v>2177</v>
      </c>
      <c r="K148" s="33">
        <v>0.753</v>
      </c>
      <c r="L148" s="20" t="str">
        <f>VLOOKUP(I148,'HSL categorization'!$A$2:$B$49,2,1)</f>
        <v>Orange</v>
      </c>
      <c r="M148" s="20"/>
      <c r="N148" s="20" t="str">
        <f>VLOOKUP(VALUE(K148),'HSL categorization'!D:E,2,TRUE)</f>
        <v>Light</v>
      </c>
      <c r="O148" s="20"/>
      <c r="P148" s="1" t="s">
        <v>1878</v>
      </c>
      <c r="Q148" s="1" t="s">
        <v>1873</v>
      </c>
      <c r="R148" s="1" t="s">
        <v>1821</v>
      </c>
      <c r="S148" s="1" t="s">
        <v>1847</v>
      </c>
      <c r="T148" s="1" t="s">
        <v>1834</v>
      </c>
      <c r="X148" t="s">
        <v>1852</v>
      </c>
      <c r="AA148">
        <v>4.8</v>
      </c>
      <c r="AB148" t="s">
        <v>1855</v>
      </c>
    </row>
    <row r="149" spans="1:28" x14ac:dyDescent="0.2">
      <c r="A149" s="1" t="s">
        <v>640</v>
      </c>
      <c r="B149" s="1" t="s">
        <v>641</v>
      </c>
      <c r="C149" s="1" t="s">
        <v>636</v>
      </c>
      <c r="D149" s="1" t="s">
        <v>637</v>
      </c>
      <c r="E149" s="1" t="s">
        <v>642</v>
      </c>
      <c r="F149" s="13" t="s">
        <v>643</v>
      </c>
      <c r="G149" s="182" t="s">
        <v>959</v>
      </c>
      <c r="H149" s="25" t="s">
        <v>2031</v>
      </c>
      <c r="I149" s="26">
        <v>0</v>
      </c>
      <c r="J149" s="27" t="s">
        <v>2178</v>
      </c>
      <c r="K149" s="33">
        <v>0.66700000000000004</v>
      </c>
      <c r="L149" s="20" t="str">
        <f>VLOOKUP(I149,'HSL categorization'!$A$2:$B$49,2,1)</f>
        <v>Red</v>
      </c>
      <c r="M149" s="20"/>
      <c r="N149" s="20" t="str">
        <f>VLOOKUP(VALUE(K149),'HSL categorization'!D:E,2,TRUE)</f>
        <v>Medium</v>
      </c>
      <c r="O149" s="20"/>
      <c r="P149" s="1" t="s">
        <v>1878</v>
      </c>
      <c r="Q149" s="1" t="s">
        <v>1873</v>
      </c>
      <c r="R149" s="1" t="s">
        <v>1821</v>
      </c>
      <c r="S149" s="1" t="s">
        <v>1847</v>
      </c>
      <c r="T149" s="1" t="s">
        <v>1834</v>
      </c>
      <c r="X149" t="s">
        <v>1852</v>
      </c>
      <c r="AA149">
        <v>4.8</v>
      </c>
      <c r="AB149" t="s">
        <v>1855</v>
      </c>
    </row>
    <row r="150" spans="1:28" x14ac:dyDescent="0.2">
      <c r="A150" s="1" t="s">
        <v>644</v>
      </c>
      <c r="B150" s="1" t="s">
        <v>645</v>
      </c>
      <c r="C150" s="1" t="s">
        <v>636</v>
      </c>
      <c r="D150" s="1" t="s">
        <v>637</v>
      </c>
      <c r="E150" s="1" t="s">
        <v>646</v>
      </c>
      <c r="F150" s="2" t="s">
        <v>647</v>
      </c>
      <c r="G150" s="183" t="s">
        <v>960</v>
      </c>
      <c r="H150" s="25" t="s">
        <v>2032</v>
      </c>
      <c r="I150" s="26">
        <v>346</v>
      </c>
      <c r="J150" s="27" t="s">
        <v>2179</v>
      </c>
      <c r="K150" s="33">
        <v>0.69199999999999995</v>
      </c>
      <c r="L150" s="20" t="str">
        <f>VLOOKUP(I150,'HSL categorization'!$A$2:$B$49,2,1)</f>
        <v>Crimson</v>
      </c>
      <c r="M150" s="20"/>
      <c r="N150" s="20" t="str">
        <f>VLOOKUP(VALUE(K150),'HSL categorization'!D:E,2,TRUE)</f>
        <v>Medium</v>
      </c>
      <c r="O150" s="20"/>
      <c r="P150" s="1" t="s">
        <v>1878</v>
      </c>
      <c r="Q150" s="1" t="s">
        <v>1873</v>
      </c>
      <c r="R150" s="1" t="s">
        <v>1821</v>
      </c>
      <c r="S150" s="1" t="s">
        <v>1847</v>
      </c>
      <c r="T150" s="1" t="s">
        <v>1834</v>
      </c>
      <c r="X150" t="s">
        <v>1852</v>
      </c>
      <c r="AA150">
        <v>4.8</v>
      </c>
      <c r="AB150" t="s">
        <v>1855</v>
      </c>
    </row>
    <row r="151" spans="1:28" x14ac:dyDescent="0.2">
      <c r="A151" s="1" t="s">
        <v>648</v>
      </c>
      <c r="B151" s="1" t="s">
        <v>649</v>
      </c>
      <c r="C151" s="1" t="s">
        <v>636</v>
      </c>
      <c r="D151" s="1" t="s">
        <v>637</v>
      </c>
      <c r="E151" s="1" t="s">
        <v>650</v>
      </c>
      <c r="F151" s="2" t="s">
        <v>651</v>
      </c>
      <c r="G151" s="184" t="s">
        <v>961</v>
      </c>
      <c r="H151" s="25" t="s">
        <v>2033</v>
      </c>
      <c r="I151" s="26">
        <v>333</v>
      </c>
      <c r="J151" s="27" t="s">
        <v>2180</v>
      </c>
      <c r="K151" s="33">
        <v>0.36899999999999999</v>
      </c>
      <c r="L151" s="20" t="str">
        <f>VLOOKUP(I151,'HSL categorization'!$A$2:$B$49,2,1)</f>
        <v>Rose</v>
      </c>
      <c r="M151" s="20"/>
      <c r="N151" s="20" t="str">
        <f>VLOOKUP(VALUE(K151),'HSL categorization'!D:E,2,TRUE)</f>
        <v>Dark</v>
      </c>
      <c r="O151" s="20"/>
      <c r="P151" s="1" t="s">
        <v>1878</v>
      </c>
      <c r="Q151" s="1" t="s">
        <v>1873</v>
      </c>
      <c r="R151" s="1" t="s">
        <v>1821</v>
      </c>
      <c r="S151" s="1" t="s">
        <v>1847</v>
      </c>
      <c r="T151" s="1" t="s">
        <v>1834</v>
      </c>
      <c r="X151" t="s">
        <v>1852</v>
      </c>
      <c r="AA151">
        <v>4.8</v>
      </c>
      <c r="AB151" t="s">
        <v>1855</v>
      </c>
    </row>
    <row r="152" spans="1:28" x14ac:dyDescent="0.2">
      <c r="A152" s="1" t="s">
        <v>652</v>
      </c>
      <c r="B152" s="1" t="s">
        <v>653</v>
      </c>
      <c r="C152" s="1" t="s">
        <v>636</v>
      </c>
      <c r="D152" s="1" t="s">
        <v>637</v>
      </c>
      <c r="E152" s="1" t="s">
        <v>654</v>
      </c>
      <c r="F152" s="13" t="s">
        <v>655</v>
      </c>
      <c r="G152" s="185" t="s">
        <v>962</v>
      </c>
      <c r="H152" s="25" t="s">
        <v>2034</v>
      </c>
      <c r="I152" s="26">
        <v>355</v>
      </c>
      <c r="J152" s="27" t="s">
        <v>2181</v>
      </c>
      <c r="K152" s="33">
        <v>0.33300000000000002</v>
      </c>
      <c r="L152" s="20" t="str">
        <f>VLOOKUP(I152,'HSL categorization'!$A$2:$B$49,2,1)</f>
        <v>Amaranth</v>
      </c>
      <c r="M152" s="20"/>
      <c r="N152" s="20" t="str">
        <f>VLOOKUP(VALUE(K152),'HSL categorization'!D:E,2,TRUE)</f>
        <v>Dark</v>
      </c>
      <c r="O152" s="20"/>
      <c r="P152" s="1" t="s">
        <v>1878</v>
      </c>
      <c r="Q152" s="1" t="s">
        <v>1873</v>
      </c>
      <c r="R152" s="1" t="s">
        <v>1821</v>
      </c>
      <c r="S152" s="1" t="s">
        <v>1847</v>
      </c>
      <c r="T152" s="1" t="s">
        <v>1834</v>
      </c>
      <c r="X152" t="s">
        <v>1852</v>
      </c>
      <c r="AA152">
        <v>4.8</v>
      </c>
      <c r="AB152" t="s">
        <v>1855</v>
      </c>
    </row>
    <row r="153" spans="1:28" x14ac:dyDescent="0.2">
      <c r="A153" s="1" t="s">
        <v>656</v>
      </c>
      <c r="B153" s="1" t="s">
        <v>657</v>
      </c>
      <c r="C153" s="1" t="s">
        <v>658</v>
      </c>
      <c r="D153" s="1" t="s">
        <v>659</v>
      </c>
      <c r="E153" s="1" t="s">
        <v>660</v>
      </c>
      <c r="F153" s="13" t="s">
        <v>661</v>
      </c>
      <c r="G153" s="186" t="s">
        <v>885</v>
      </c>
      <c r="H153" s="25" t="s">
        <v>2035</v>
      </c>
      <c r="I153" s="26">
        <v>7</v>
      </c>
      <c r="J153" s="27" t="s">
        <v>2182</v>
      </c>
      <c r="K153" s="33">
        <v>0.60199999999999998</v>
      </c>
      <c r="L153" s="20" t="str">
        <f>VLOOKUP(I153,'HSL categorization'!$A$2:$B$49,2,1)</f>
        <v>Red</v>
      </c>
      <c r="M153" s="20"/>
      <c r="N153" s="20" t="str">
        <f>VLOOKUP(VALUE(K153),'HSL categorization'!D:E,2,TRUE)</f>
        <v>Medium</v>
      </c>
      <c r="O153" s="20"/>
      <c r="P153" s="1" t="s">
        <v>1877</v>
      </c>
      <c r="Q153" s="1" t="s">
        <v>1826</v>
      </c>
      <c r="R153" s="1" t="s">
        <v>1821</v>
      </c>
      <c r="S153" s="1" t="s">
        <v>1816</v>
      </c>
      <c r="T153" s="1" t="s">
        <v>1818</v>
      </c>
      <c r="X153" t="s">
        <v>1859</v>
      </c>
      <c r="AA153">
        <v>5</v>
      </c>
      <c r="AB153" t="s">
        <v>1880</v>
      </c>
    </row>
    <row r="154" spans="1:28" x14ac:dyDescent="0.2">
      <c r="A154" s="1" t="s">
        <v>662</v>
      </c>
      <c r="B154" s="1" t="s">
        <v>663</v>
      </c>
      <c r="C154" s="1" t="s">
        <v>664</v>
      </c>
      <c r="D154" s="1" t="s">
        <v>665</v>
      </c>
      <c r="E154" s="1" t="s">
        <v>666</v>
      </c>
      <c r="F154" s="13" t="s">
        <v>667</v>
      </c>
      <c r="G154" s="187" t="s">
        <v>942</v>
      </c>
      <c r="H154" s="25" t="s">
        <v>2036</v>
      </c>
      <c r="I154" s="26">
        <v>354</v>
      </c>
      <c r="J154" s="27" t="s">
        <v>2183</v>
      </c>
      <c r="K154" s="33">
        <v>0.622</v>
      </c>
      <c r="L154" s="20" t="str">
        <f>VLOOKUP(I154,'HSL categorization'!$A$2:$B$49,2,1)</f>
        <v>Amaranth</v>
      </c>
      <c r="M154" s="20"/>
      <c r="N154" s="20" t="str">
        <f>VLOOKUP(VALUE(K154),'HSL categorization'!D:E,2,TRUE)</f>
        <v>Medium</v>
      </c>
      <c r="O154" s="20"/>
      <c r="P154" s="1" t="s">
        <v>1878</v>
      </c>
      <c r="Q154" s="1" t="s">
        <v>1854</v>
      </c>
      <c r="R154" s="1" t="s">
        <v>1821</v>
      </c>
      <c r="S154" s="1" t="s">
        <v>1816</v>
      </c>
      <c r="T154" s="1" t="s">
        <v>1834</v>
      </c>
      <c r="U154" s="1" t="s">
        <v>1831</v>
      </c>
      <c r="X154" t="s">
        <v>1852</v>
      </c>
      <c r="AA154">
        <v>4.7</v>
      </c>
      <c r="AB154" t="s">
        <v>1870</v>
      </c>
    </row>
    <row r="155" spans="1:28" x14ac:dyDescent="0.2">
      <c r="A155" s="1" t="s">
        <v>668</v>
      </c>
      <c r="B155" s="1" t="s">
        <v>669</v>
      </c>
      <c r="C155" s="1" t="s">
        <v>664</v>
      </c>
      <c r="D155" s="1" t="s">
        <v>665</v>
      </c>
      <c r="E155" s="1" t="s">
        <v>670</v>
      </c>
      <c r="F155" s="13" t="s">
        <v>671</v>
      </c>
      <c r="G155" s="188" t="s">
        <v>943</v>
      </c>
      <c r="H155" s="25" t="s">
        <v>2037</v>
      </c>
      <c r="I155" s="26">
        <v>7</v>
      </c>
      <c r="J155" s="27" t="s">
        <v>2184</v>
      </c>
      <c r="K155" s="33">
        <v>0.34300000000000003</v>
      </c>
      <c r="L155" s="20" t="str">
        <f>VLOOKUP(I155,'HSL categorization'!$A$2:$B$49,2,1)</f>
        <v>Red</v>
      </c>
      <c r="M155" s="20"/>
      <c r="N155" s="20" t="str">
        <f>VLOOKUP(VALUE(K155),'HSL categorization'!D:E,2,TRUE)</f>
        <v>Dark</v>
      </c>
      <c r="O155" s="20"/>
      <c r="P155" s="1" t="s">
        <v>1878</v>
      </c>
      <c r="Q155" s="1" t="s">
        <v>1854</v>
      </c>
      <c r="R155" s="1" t="s">
        <v>1821</v>
      </c>
      <c r="S155" s="1" t="s">
        <v>1816</v>
      </c>
      <c r="T155" s="1" t="s">
        <v>1834</v>
      </c>
      <c r="U155" s="1" t="s">
        <v>1831</v>
      </c>
      <c r="X155" t="s">
        <v>1852</v>
      </c>
      <c r="AA155">
        <v>4.7</v>
      </c>
      <c r="AB155" t="s">
        <v>1870</v>
      </c>
    </row>
    <row r="156" spans="1:28" x14ac:dyDescent="0.2">
      <c r="A156" s="1" t="s">
        <v>672</v>
      </c>
      <c r="B156" s="1" t="s">
        <v>673</v>
      </c>
      <c r="C156" s="1" t="s">
        <v>664</v>
      </c>
      <c r="D156" s="1" t="s">
        <v>665</v>
      </c>
      <c r="E156" s="1" t="s">
        <v>674</v>
      </c>
      <c r="F156" s="2" t="s">
        <v>675</v>
      </c>
      <c r="G156" s="189" t="s">
        <v>944</v>
      </c>
      <c r="H156" s="25" t="s">
        <v>2038</v>
      </c>
      <c r="I156" s="26">
        <v>342</v>
      </c>
      <c r="J156" s="27" t="s">
        <v>2185</v>
      </c>
      <c r="K156" s="33">
        <v>0.61399999999999999</v>
      </c>
      <c r="L156" s="20" t="str">
        <f>VLOOKUP(I156,'HSL categorization'!$A$2:$B$49,2,1)</f>
        <v>Raspberry</v>
      </c>
      <c r="M156" s="20"/>
      <c r="N156" s="20" t="str">
        <f>VLOOKUP(VALUE(K156),'HSL categorization'!D:E,2,TRUE)</f>
        <v>Medium</v>
      </c>
      <c r="O156" s="20"/>
      <c r="P156" s="1" t="s">
        <v>1878</v>
      </c>
      <c r="Q156" s="1" t="s">
        <v>1854</v>
      </c>
      <c r="R156" s="1" t="s">
        <v>1821</v>
      </c>
      <c r="S156" s="1" t="s">
        <v>1816</v>
      </c>
      <c r="T156" s="1" t="s">
        <v>1834</v>
      </c>
      <c r="U156" s="1" t="s">
        <v>1831</v>
      </c>
      <c r="X156" t="s">
        <v>1852</v>
      </c>
      <c r="AA156">
        <v>4.7</v>
      </c>
      <c r="AB156" t="s">
        <v>1870</v>
      </c>
    </row>
    <row r="157" spans="1:28" x14ac:dyDescent="0.2">
      <c r="A157" s="1" t="s">
        <v>676</v>
      </c>
      <c r="B157" s="1" t="s">
        <v>677</v>
      </c>
      <c r="C157" s="1" t="s">
        <v>664</v>
      </c>
      <c r="D157" s="1" t="s">
        <v>665</v>
      </c>
      <c r="E157" s="1" t="s">
        <v>678</v>
      </c>
      <c r="F157" s="2" t="s">
        <v>679</v>
      </c>
      <c r="G157" s="190" t="s">
        <v>945</v>
      </c>
      <c r="H157" s="25" t="s">
        <v>2039</v>
      </c>
      <c r="I157" s="26">
        <v>357</v>
      </c>
      <c r="J157" s="27" t="s">
        <v>2186</v>
      </c>
      <c r="K157" s="33">
        <v>0.32400000000000001</v>
      </c>
      <c r="L157" s="20" t="str">
        <f>VLOOKUP(I157,'HSL categorization'!$A$2:$B$49,2,1)</f>
        <v>Amaranth</v>
      </c>
      <c r="M157" s="20"/>
      <c r="N157" s="20" t="str">
        <f>VLOOKUP(VALUE(K157),'HSL categorization'!D:E,2,TRUE)</f>
        <v>Dark</v>
      </c>
      <c r="O157" s="20"/>
      <c r="P157" s="1" t="s">
        <v>1878</v>
      </c>
      <c r="Q157" s="1" t="s">
        <v>1854</v>
      </c>
      <c r="R157" s="1" t="s">
        <v>1821</v>
      </c>
      <c r="S157" s="1" t="s">
        <v>1816</v>
      </c>
      <c r="T157" s="1" t="s">
        <v>1834</v>
      </c>
      <c r="U157" s="1" t="s">
        <v>1831</v>
      </c>
      <c r="X157" t="s">
        <v>1852</v>
      </c>
      <c r="AA157">
        <v>4.7</v>
      </c>
      <c r="AB157" t="s">
        <v>1870</v>
      </c>
    </row>
    <row r="158" spans="1:28" x14ac:dyDescent="0.2">
      <c r="A158" s="1" t="s">
        <v>680</v>
      </c>
      <c r="B158" s="1" t="s">
        <v>681</v>
      </c>
      <c r="C158" s="1" t="s">
        <v>664</v>
      </c>
      <c r="D158" s="1" t="s">
        <v>665</v>
      </c>
      <c r="E158" s="1" t="s">
        <v>682</v>
      </c>
      <c r="F158" s="2" t="s">
        <v>683</v>
      </c>
      <c r="G158" s="191" t="s">
        <v>946</v>
      </c>
      <c r="H158" s="25" t="s">
        <v>2040</v>
      </c>
      <c r="I158" s="26">
        <v>337</v>
      </c>
      <c r="J158" s="27" t="s">
        <v>2187</v>
      </c>
      <c r="K158" s="33">
        <v>0.47599999999999998</v>
      </c>
      <c r="L158" s="20" t="str">
        <f>VLOOKUP(I158,'HSL categorization'!$A$2:$B$49,2,1)</f>
        <v>Rose</v>
      </c>
      <c r="M158" s="20"/>
      <c r="N158" s="20" t="str">
        <f>VLOOKUP(VALUE(K158),'HSL categorization'!D:E,2,TRUE)</f>
        <v>Medium</v>
      </c>
      <c r="O158" s="20"/>
      <c r="P158" s="1" t="s">
        <v>1878</v>
      </c>
      <c r="Q158" s="1" t="s">
        <v>1854</v>
      </c>
      <c r="R158" s="1" t="s">
        <v>1821</v>
      </c>
      <c r="S158" s="1" t="s">
        <v>1816</v>
      </c>
      <c r="T158" s="1" t="s">
        <v>1834</v>
      </c>
      <c r="U158" s="1" t="s">
        <v>1831</v>
      </c>
      <c r="X158" t="s">
        <v>1852</v>
      </c>
      <c r="AA158">
        <v>4.7</v>
      </c>
      <c r="AB158" t="s">
        <v>1870</v>
      </c>
    </row>
    <row r="159" spans="1:28" x14ac:dyDescent="0.2">
      <c r="A159" s="1" t="s">
        <v>684</v>
      </c>
      <c r="B159" s="1" t="s">
        <v>685</v>
      </c>
      <c r="C159" s="1" t="s">
        <v>664</v>
      </c>
      <c r="D159" s="1" t="s">
        <v>665</v>
      </c>
      <c r="E159" s="1" t="s">
        <v>686</v>
      </c>
      <c r="F159" s="2" t="s">
        <v>687</v>
      </c>
      <c r="G159" s="192" t="s">
        <v>947</v>
      </c>
      <c r="H159" s="25" t="s">
        <v>2041</v>
      </c>
      <c r="I159" s="26">
        <v>354</v>
      </c>
      <c r="J159" s="27" t="s">
        <v>2188</v>
      </c>
      <c r="K159" s="33">
        <v>0.51200000000000001</v>
      </c>
      <c r="L159" s="20" t="str">
        <f>VLOOKUP(I159,'HSL categorization'!$A$2:$B$49,2,1)</f>
        <v>Amaranth</v>
      </c>
      <c r="M159" s="20"/>
      <c r="N159" s="20" t="str">
        <f>VLOOKUP(VALUE(K159),'HSL categorization'!D:E,2,TRUE)</f>
        <v>Medium</v>
      </c>
      <c r="O159" s="20"/>
      <c r="P159" s="1" t="s">
        <v>1878</v>
      </c>
      <c r="Q159" s="1" t="s">
        <v>1854</v>
      </c>
      <c r="R159" s="1" t="s">
        <v>1821</v>
      </c>
      <c r="S159" s="1" t="s">
        <v>1816</v>
      </c>
      <c r="T159" s="1" t="s">
        <v>1834</v>
      </c>
      <c r="U159" s="1" t="s">
        <v>1831</v>
      </c>
      <c r="X159" t="s">
        <v>1852</v>
      </c>
      <c r="AA159">
        <v>4.7</v>
      </c>
      <c r="AB159" t="s">
        <v>1870</v>
      </c>
    </row>
    <row r="160" spans="1:28" x14ac:dyDescent="0.2">
      <c r="A160" s="1" t="s">
        <v>688</v>
      </c>
      <c r="B160" s="1" t="s">
        <v>689</v>
      </c>
      <c r="C160" s="1" t="s">
        <v>664</v>
      </c>
      <c r="D160" s="1" t="s">
        <v>665</v>
      </c>
      <c r="E160" s="1" t="s">
        <v>690</v>
      </c>
      <c r="F160" s="2" t="s">
        <v>691</v>
      </c>
      <c r="G160" s="193" t="s">
        <v>948</v>
      </c>
      <c r="H160" s="25" t="s">
        <v>2042</v>
      </c>
      <c r="I160" s="26">
        <v>4</v>
      </c>
      <c r="J160" s="27" t="s">
        <v>2142</v>
      </c>
      <c r="K160" s="33">
        <v>0.56499999999999995</v>
      </c>
      <c r="L160" s="20" t="str">
        <f>VLOOKUP(I160,'HSL categorization'!$A$2:$B$49,2,1)</f>
        <v>Red</v>
      </c>
      <c r="M160" s="20"/>
      <c r="N160" s="20" t="str">
        <f>VLOOKUP(VALUE(K160),'HSL categorization'!D:E,2,TRUE)</f>
        <v>Medium</v>
      </c>
      <c r="O160" s="20"/>
      <c r="P160" s="1" t="s">
        <v>1878</v>
      </c>
      <c r="Q160" s="1" t="s">
        <v>1854</v>
      </c>
      <c r="R160" s="1" t="s">
        <v>1821</v>
      </c>
      <c r="S160" s="1" t="s">
        <v>1816</v>
      </c>
      <c r="T160" s="1" t="s">
        <v>1834</v>
      </c>
      <c r="U160" s="1" t="s">
        <v>1831</v>
      </c>
      <c r="X160" t="s">
        <v>1852</v>
      </c>
      <c r="AA160">
        <v>4.7</v>
      </c>
      <c r="AB160" t="s">
        <v>1870</v>
      </c>
    </row>
    <row r="161" spans="1:28" x14ac:dyDescent="0.2">
      <c r="A161" s="1" t="s">
        <v>692</v>
      </c>
      <c r="B161" s="1" t="s">
        <v>693</v>
      </c>
      <c r="C161" s="1" t="s">
        <v>664</v>
      </c>
      <c r="D161" s="1" t="s">
        <v>665</v>
      </c>
      <c r="E161" s="1" t="s">
        <v>694</v>
      </c>
      <c r="F161" s="2" t="s">
        <v>695</v>
      </c>
      <c r="G161" s="194" t="s">
        <v>949</v>
      </c>
      <c r="H161" s="25" t="s">
        <v>2043</v>
      </c>
      <c r="I161" s="26">
        <v>2</v>
      </c>
      <c r="J161" s="27" t="s">
        <v>2189</v>
      </c>
      <c r="K161" s="33">
        <v>0.48799999999999999</v>
      </c>
      <c r="L161" s="20" t="str">
        <f>VLOOKUP(I161,'HSL categorization'!$A$2:$B$49,2,1)</f>
        <v>Red</v>
      </c>
      <c r="M161" s="20"/>
      <c r="N161" s="20" t="str">
        <f>VLOOKUP(VALUE(K161),'HSL categorization'!D:E,2,TRUE)</f>
        <v>Medium</v>
      </c>
      <c r="O161" s="20"/>
      <c r="P161" s="1" t="s">
        <v>1878</v>
      </c>
      <c r="Q161" s="1" t="s">
        <v>1854</v>
      </c>
      <c r="R161" s="1" t="s">
        <v>1821</v>
      </c>
      <c r="S161" s="1" t="s">
        <v>1816</v>
      </c>
      <c r="T161" s="1" t="s">
        <v>1834</v>
      </c>
      <c r="U161" s="1" t="s">
        <v>1831</v>
      </c>
      <c r="X161" t="s">
        <v>1852</v>
      </c>
      <c r="AA161">
        <v>4.7</v>
      </c>
      <c r="AB161" t="s">
        <v>1870</v>
      </c>
    </row>
    <row r="162" spans="1:28" x14ac:dyDescent="0.2">
      <c r="A162" s="1" t="s">
        <v>696</v>
      </c>
      <c r="B162" s="1" t="s">
        <v>697</v>
      </c>
      <c r="C162" s="1" t="s">
        <v>664</v>
      </c>
      <c r="D162" s="1" t="s">
        <v>665</v>
      </c>
      <c r="E162" s="1" t="s">
        <v>698</v>
      </c>
      <c r="F162" s="2" t="s">
        <v>699</v>
      </c>
      <c r="G162" s="195" t="s">
        <v>950</v>
      </c>
      <c r="H162" s="25" t="s">
        <v>2044</v>
      </c>
      <c r="I162" s="26">
        <v>342</v>
      </c>
      <c r="J162" s="27" t="s">
        <v>2134</v>
      </c>
      <c r="K162" s="33">
        <v>0.5</v>
      </c>
      <c r="L162" s="20" t="str">
        <f>VLOOKUP(I162,'HSL categorization'!$A$2:$B$49,2,1)</f>
        <v>Raspberry</v>
      </c>
      <c r="M162" s="20"/>
      <c r="N162" s="20" t="str">
        <f>VLOOKUP(VALUE(K162),'HSL categorization'!D:E,2,TRUE)</f>
        <v>Medium</v>
      </c>
      <c r="O162" s="20"/>
      <c r="P162" s="1" t="s">
        <v>1878</v>
      </c>
      <c r="Q162" s="1" t="s">
        <v>1854</v>
      </c>
      <c r="R162" s="1" t="s">
        <v>1821</v>
      </c>
      <c r="S162" s="1" t="s">
        <v>1816</v>
      </c>
      <c r="T162" s="1" t="s">
        <v>1834</v>
      </c>
      <c r="U162" s="1" t="s">
        <v>1831</v>
      </c>
      <c r="X162" t="s">
        <v>1852</v>
      </c>
      <c r="AA162">
        <v>4.7</v>
      </c>
      <c r="AB162" t="s">
        <v>1870</v>
      </c>
    </row>
    <row r="163" spans="1:28" x14ac:dyDescent="0.2">
      <c r="A163" s="1" t="s">
        <v>700</v>
      </c>
      <c r="B163" s="1" t="s">
        <v>701</v>
      </c>
      <c r="C163" s="1" t="s">
        <v>664</v>
      </c>
      <c r="D163" s="1" t="s">
        <v>665</v>
      </c>
      <c r="E163" s="1" t="s">
        <v>702</v>
      </c>
      <c r="F163" s="13" t="s">
        <v>703</v>
      </c>
      <c r="G163" s="196" t="s">
        <v>951</v>
      </c>
      <c r="H163" s="25" t="s">
        <v>2045</v>
      </c>
      <c r="I163" s="26">
        <v>352</v>
      </c>
      <c r="J163" s="27" t="s">
        <v>2167</v>
      </c>
      <c r="K163" s="33">
        <v>0.46899999999999997</v>
      </c>
      <c r="L163" s="20" t="str">
        <f>VLOOKUP(I163,'HSL categorization'!$A$2:$B$49,2,1)</f>
        <v>Crimson</v>
      </c>
      <c r="M163" s="20"/>
      <c r="N163" s="20" t="str">
        <f>VLOOKUP(VALUE(K163),'HSL categorization'!D:E,2,TRUE)</f>
        <v>Medium</v>
      </c>
      <c r="O163" s="20"/>
      <c r="P163" s="1" t="s">
        <v>1878</v>
      </c>
      <c r="Q163" s="1" t="s">
        <v>1854</v>
      </c>
      <c r="R163" s="1" t="s">
        <v>1821</v>
      </c>
      <c r="S163" s="1" t="s">
        <v>1816</v>
      </c>
      <c r="T163" s="1" t="s">
        <v>1834</v>
      </c>
      <c r="U163" s="1" t="s">
        <v>1831</v>
      </c>
      <c r="X163" t="s">
        <v>1852</v>
      </c>
      <c r="AA163">
        <v>4.7</v>
      </c>
      <c r="AB163" t="s">
        <v>1870</v>
      </c>
    </row>
    <row r="164" spans="1:28" x14ac:dyDescent="0.2">
      <c r="A164" s="1" t="s">
        <v>704</v>
      </c>
      <c r="B164" s="1" t="s">
        <v>705</v>
      </c>
      <c r="C164" s="1" t="s">
        <v>664</v>
      </c>
      <c r="D164" s="1" t="s">
        <v>665</v>
      </c>
      <c r="E164" s="1" t="s">
        <v>706</v>
      </c>
      <c r="F164" s="2" t="s">
        <v>707</v>
      </c>
      <c r="G164" s="197" t="s">
        <v>952</v>
      </c>
      <c r="H164" s="25" t="s">
        <v>2046</v>
      </c>
      <c r="I164" s="26">
        <v>356</v>
      </c>
      <c r="J164" s="27" t="s">
        <v>2190</v>
      </c>
      <c r="K164" s="33">
        <v>0.39200000000000002</v>
      </c>
      <c r="L164" s="20" t="str">
        <f>VLOOKUP(I164,'HSL categorization'!$A$2:$B$49,2,1)</f>
        <v>Amaranth</v>
      </c>
      <c r="M164" s="20"/>
      <c r="N164" s="20" t="str">
        <f>VLOOKUP(VALUE(K164),'HSL categorization'!D:E,2,TRUE)</f>
        <v>Dark</v>
      </c>
      <c r="O164" s="20"/>
      <c r="P164" s="1" t="s">
        <v>1878</v>
      </c>
      <c r="Q164" s="1" t="s">
        <v>1854</v>
      </c>
      <c r="R164" s="1" t="s">
        <v>1821</v>
      </c>
      <c r="S164" s="1" t="s">
        <v>1816</v>
      </c>
      <c r="T164" s="1" t="s">
        <v>1834</v>
      </c>
      <c r="U164" s="1" t="s">
        <v>1831</v>
      </c>
      <c r="X164" t="s">
        <v>1852</v>
      </c>
      <c r="AA164">
        <v>4.7</v>
      </c>
      <c r="AB164" t="s">
        <v>1870</v>
      </c>
    </row>
    <row r="165" spans="1:28" x14ac:dyDescent="0.2">
      <c r="A165" s="1" t="s">
        <v>708</v>
      </c>
      <c r="B165" s="1" t="s">
        <v>709</v>
      </c>
      <c r="C165" s="1" t="s">
        <v>664</v>
      </c>
      <c r="D165" s="1" t="s">
        <v>665</v>
      </c>
      <c r="E165" s="1" t="s">
        <v>710</v>
      </c>
      <c r="F165" s="2" t="s">
        <v>711</v>
      </c>
      <c r="G165" s="198" t="s">
        <v>953</v>
      </c>
      <c r="H165" s="25" t="s">
        <v>2047</v>
      </c>
      <c r="I165" s="26">
        <v>6</v>
      </c>
      <c r="J165" s="27" t="s">
        <v>2191</v>
      </c>
      <c r="K165" s="33">
        <v>0.58799999999999997</v>
      </c>
      <c r="L165" s="20" t="str">
        <f>VLOOKUP(I165,'HSL categorization'!$A$2:$B$49,2,1)</f>
        <v>Red</v>
      </c>
      <c r="M165" s="20"/>
      <c r="N165" s="20" t="str">
        <f>VLOOKUP(VALUE(K165),'HSL categorization'!D:E,2,TRUE)</f>
        <v>Medium</v>
      </c>
      <c r="O165" s="20"/>
      <c r="P165" s="1" t="s">
        <v>1878</v>
      </c>
      <c r="Q165" s="1" t="s">
        <v>1854</v>
      </c>
      <c r="R165" s="1" t="s">
        <v>1821</v>
      </c>
      <c r="S165" s="1" t="s">
        <v>1816</v>
      </c>
      <c r="T165" s="1" t="s">
        <v>1834</v>
      </c>
      <c r="U165" s="1" t="s">
        <v>1831</v>
      </c>
      <c r="X165" t="s">
        <v>1852</v>
      </c>
      <c r="AA165">
        <v>4.7</v>
      </c>
      <c r="AB165" t="s">
        <v>1870</v>
      </c>
    </row>
    <row r="166" spans="1:28" x14ac:dyDescent="0.2">
      <c r="A166" s="1" t="s">
        <v>712</v>
      </c>
      <c r="B166" s="1" t="s">
        <v>713</v>
      </c>
      <c r="C166" s="1" t="s">
        <v>664</v>
      </c>
      <c r="D166" s="1" t="s">
        <v>665</v>
      </c>
      <c r="E166" s="1" t="s">
        <v>714</v>
      </c>
      <c r="F166" s="2" t="s">
        <v>715</v>
      </c>
      <c r="G166" s="199" t="s">
        <v>954</v>
      </c>
      <c r="H166" s="25" t="s">
        <v>2048</v>
      </c>
      <c r="I166" s="26">
        <v>330</v>
      </c>
      <c r="J166" s="27" t="s">
        <v>2192</v>
      </c>
      <c r="K166" s="33">
        <v>0.316</v>
      </c>
      <c r="L166" s="20" t="str">
        <f>VLOOKUP(I166,'HSL categorization'!$A$2:$B$49,2,1)</f>
        <v>Rose</v>
      </c>
      <c r="M166" s="20"/>
      <c r="N166" s="20" t="str">
        <f>VLOOKUP(VALUE(K166),'HSL categorization'!D:E,2,TRUE)</f>
        <v>Dark</v>
      </c>
      <c r="O166" s="20"/>
      <c r="P166" s="1" t="s">
        <v>1878</v>
      </c>
      <c r="Q166" s="1" t="s">
        <v>1854</v>
      </c>
      <c r="R166" s="1" t="s">
        <v>1821</v>
      </c>
      <c r="S166" s="1" t="s">
        <v>1816</v>
      </c>
      <c r="T166" s="1" t="s">
        <v>1834</v>
      </c>
      <c r="U166" s="1" t="s">
        <v>1831</v>
      </c>
      <c r="X166" t="s">
        <v>1852</v>
      </c>
      <c r="AA166">
        <v>4.7</v>
      </c>
      <c r="AB166" t="s">
        <v>1870</v>
      </c>
    </row>
    <row r="167" spans="1:28" x14ac:dyDescent="0.2">
      <c r="A167" s="1" t="s">
        <v>716</v>
      </c>
      <c r="B167" s="1" t="s">
        <v>717</v>
      </c>
      <c r="C167" s="1" t="s">
        <v>664</v>
      </c>
      <c r="D167" s="1" t="s">
        <v>665</v>
      </c>
      <c r="E167" s="1" t="s">
        <v>718</v>
      </c>
      <c r="F167" s="2" t="s">
        <v>719</v>
      </c>
      <c r="G167" s="200" t="s">
        <v>955</v>
      </c>
      <c r="H167" s="25" t="s">
        <v>2049</v>
      </c>
      <c r="I167" s="26">
        <v>0</v>
      </c>
      <c r="J167" s="27" t="s">
        <v>2094</v>
      </c>
      <c r="K167" s="33">
        <v>0.58599999999999997</v>
      </c>
      <c r="L167" s="20" t="str">
        <f>VLOOKUP(I167,'HSL categorization'!$A$2:$B$49,2,1)</f>
        <v>Red</v>
      </c>
      <c r="M167" s="20"/>
      <c r="N167" s="20" t="str">
        <f>VLOOKUP(VALUE(K167),'HSL categorization'!D:E,2,TRUE)</f>
        <v>Medium</v>
      </c>
      <c r="O167" s="20"/>
      <c r="P167" s="1" t="s">
        <v>1878</v>
      </c>
      <c r="Q167" s="1" t="s">
        <v>1854</v>
      </c>
      <c r="R167" s="1" t="s">
        <v>1821</v>
      </c>
      <c r="S167" s="1" t="s">
        <v>1816</v>
      </c>
      <c r="T167" s="1" t="s">
        <v>1834</v>
      </c>
      <c r="U167" s="1" t="s">
        <v>1831</v>
      </c>
      <c r="X167" t="s">
        <v>1852</v>
      </c>
      <c r="AA167">
        <v>4.7</v>
      </c>
      <c r="AB167" t="s">
        <v>1870</v>
      </c>
    </row>
    <row r="168" spans="1:28" x14ac:dyDescent="0.2">
      <c r="A168" s="1" t="s">
        <v>720</v>
      </c>
      <c r="B168" s="1" t="s">
        <v>721</v>
      </c>
      <c r="C168" s="1" t="s">
        <v>664</v>
      </c>
      <c r="D168" s="1" t="s">
        <v>665</v>
      </c>
      <c r="E168" s="1" t="s">
        <v>722</v>
      </c>
      <c r="F168" s="2" t="s">
        <v>723</v>
      </c>
      <c r="G168" s="201" t="s">
        <v>956</v>
      </c>
      <c r="H168" s="25" t="s">
        <v>2050</v>
      </c>
      <c r="I168" s="26">
        <v>351</v>
      </c>
      <c r="J168" s="27" t="s">
        <v>2193</v>
      </c>
      <c r="K168" s="33">
        <v>0.57999999999999996</v>
      </c>
      <c r="L168" s="20" t="str">
        <f>VLOOKUP(I168,'HSL categorization'!$A$2:$B$49,2,1)</f>
        <v>Crimson</v>
      </c>
      <c r="M168" s="20"/>
      <c r="N168" s="20" t="str">
        <f>VLOOKUP(VALUE(K168),'HSL categorization'!D:E,2,TRUE)</f>
        <v>Medium</v>
      </c>
      <c r="O168" s="20"/>
      <c r="P168" s="1" t="s">
        <v>1878</v>
      </c>
      <c r="Q168" s="1" t="s">
        <v>1854</v>
      </c>
      <c r="R168" s="1" t="s">
        <v>1821</v>
      </c>
      <c r="S168" s="1" t="s">
        <v>1816</v>
      </c>
      <c r="T168" s="1" t="s">
        <v>1834</v>
      </c>
      <c r="U168" s="1" t="s">
        <v>1831</v>
      </c>
      <c r="X168" t="s">
        <v>1852</v>
      </c>
      <c r="AA168">
        <v>4.7</v>
      </c>
      <c r="AB168" t="s">
        <v>1870</v>
      </c>
    </row>
    <row r="169" spans="1:28" x14ac:dyDescent="0.2">
      <c r="A169" s="1" t="s">
        <v>724</v>
      </c>
      <c r="B169" s="1" t="s">
        <v>725</v>
      </c>
      <c r="C169" s="1" t="s">
        <v>664</v>
      </c>
      <c r="D169" s="1" t="s">
        <v>665</v>
      </c>
      <c r="E169" s="1" t="s">
        <v>726</v>
      </c>
      <c r="F169" s="13" t="s">
        <v>727</v>
      </c>
      <c r="G169" s="202" t="s">
        <v>957</v>
      </c>
      <c r="H169" s="25" t="s">
        <v>2051</v>
      </c>
      <c r="I169" s="26">
        <v>0</v>
      </c>
      <c r="J169" s="27" t="s">
        <v>2194</v>
      </c>
      <c r="K169" s="33">
        <v>0.41599999999999998</v>
      </c>
      <c r="L169" s="20" t="str">
        <f>VLOOKUP(I169,'HSL categorization'!$A$2:$B$49,2,1)</f>
        <v>Red</v>
      </c>
      <c r="M169" s="20"/>
      <c r="N169" s="20" t="str">
        <f>VLOOKUP(VALUE(K169),'HSL categorization'!D:E,2,TRUE)</f>
        <v>Medium</v>
      </c>
      <c r="O169" s="20"/>
      <c r="P169" s="1" t="s">
        <v>1878</v>
      </c>
      <c r="Q169" s="1" t="s">
        <v>1854</v>
      </c>
      <c r="R169" s="1" t="s">
        <v>1821</v>
      </c>
      <c r="S169" s="1" t="s">
        <v>1816</v>
      </c>
      <c r="T169" s="1" t="s">
        <v>1834</v>
      </c>
      <c r="U169" s="1" t="s">
        <v>1831</v>
      </c>
      <c r="X169" t="s">
        <v>1852</v>
      </c>
      <c r="AA169">
        <v>4.7</v>
      </c>
      <c r="AB169" t="s">
        <v>1870</v>
      </c>
    </row>
    <row r="170" spans="1:28" x14ac:dyDescent="0.2">
      <c r="A170" s="1" t="s">
        <v>728</v>
      </c>
      <c r="B170" s="1" t="s">
        <v>729</v>
      </c>
      <c r="C170" s="1" t="s">
        <v>328</v>
      </c>
      <c r="D170" s="1" t="s">
        <v>329</v>
      </c>
      <c r="E170" s="1" t="s">
        <v>730</v>
      </c>
      <c r="F170" s="13" t="s">
        <v>731</v>
      </c>
      <c r="G170" s="203" t="s">
        <v>1001</v>
      </c>
      <c r="H170" s="25" t="s">
        <v>2052</v>
      </c>
      <c r="I170" s="26">
        <v>357</v>
      </c>
      <c r="J170" s="27" t="s">
        <v>2195</v>
      </c>
      <c r="K170" s="33">
        <v>0.42199999999999999</v>
      </c>
      <c r="L170" s="20" t="str">
        <f>VLOOKUP(I170,'HSL categorization'!$A$2:$B$49,2,1)</f>
        <v>Amaranth</v>
      </c>
      <c r="M170" s="20"/>
      <c r="N170" s="20" t="str">
        <f>VLOOKUP(VALUE(K170),'HSL categorization'!D:E,2,TRUE)</f>
        <v>Medium</v>
      </c>
      <c r="O170" s="20"/>
      <c r="P170" s="1" t="s">
        <v>1878</v>
      </c>
      <c r="Q170" s="1" t="s">
        <v>1854</v>
      </c>
      <c r="R170" s="1" t="s">
        <v>1821</v>
      </c>
      <c r="S170" s="1" t="s">
        <v>1881</v>
      </c>
      <c r="T170" s="1" t="s">
        <v>1834</v>
      </c>
      <c r="X170" t="s">
        <v>1852</v>
      </c>
      <c r="AA170">
        <v>4.5999999999999996</v>
      </c>
      <c r="AB170" t="s">
        <v>1870</v>
      </c>
    </row>
    <row r="171" spans="1:28" x14ac:dyDescent="0.2">
      <c r="A171" s="1" t="s">
        <v>732</v>
      </c>
      <c r="B171" s="1" t="s">
        <v>733</v>
      </c>
      <c r="C171" s="1" t="s">
        <v>618</v>
      </c>
      <c r="D171" s="1" t="s">
        <v>619</v>
      </c>
      <c r="E171" s="1" t="s">
        <v>734</v>
      </c>
      <c r="F171" s="13" t="s">
        <v>735</v>
      </c>
      <c r="G171" s="204" t="s">
        <v>1054</v>
      </c>
      <c r="H171" s="25" t="s">
        <v>2053</v>
      </c>
      <c r="I171" s="26">
        <v>6</v>
      </c>
      <c r="J171" s="27" t="s">
        <v>2196</v>
      </c>
      <c r="K171" s="33">
        <v>0.52900000000000003</v>
      </c>
      <c r="L171" s="20" t="str">
        <f>VLOOKUP(I171,'HSL categorization'!$A$2:$B$49,2,1)</f>
        <v>Red</v>
      </c>
      <c r="M171" s="20"/>
      <c r="N171" s="20" t="str">
        <f>VLOOKUP(VALUE(K171),'HSL categorization'!D:E,2,TRUE)</f>
        <v>Medium</v>
      </c>
      <c r="O171" s="20"/>
      <c r="P171" s="1" t="s">
        <v>1878</v>
      </c>
      <c r="Q171" s="1" t="s">
        <v>1829</v>
      </c>
      <c r="R171" s="1" t="s">
        <v>1821</v>
      </c>
      <c r="S171" s="1" t="s">
        <v>1816</v>
      </c>
      <c r="T171" s="1" t="s">
        <v>1834</v>
      </c>
      <c r="X171" t="s">
        <v>1852</v>
      </c>
      <c r="AA171">
        <v>4.5999999999999996</v>
      </c>
      <c r="AB171" t="s">
        <v>1870</v>
      </c>
    </row>
    <row r="172" spans="1:28" x14ac:dyDescent="0.2">
      <c r="A172" s="1" t="s">
        <v>736</v>
      </c>
      <c r="B172" s="1" t="s">
        <v>737</v>
      </c>
      <c r="C172" s="1" t="s">
        <v>618</v>
      </c>
      <c r="D172" s="1" t="s">
        <v>619</v>
      </c>
      <c r="E172" s="1" t="s">
        <v>738</v>
      </c>
      <c r="F172" s="13" t="s">
        <v>739</v>
      </c>
      <c r="G172" s="205" t="s">
        <v>1055</v>
      </c>
      <c r="H172" s="25" t="s">
        <v>2054</v>
      </c>
      <c r="I172" s="26">
        <v>1</v>
      </c>
      <c r="J172" s="27" t="s">
        <v>2197</v>
      </c>
      <c r="K172" s="33">
        <v>0.53700000000000003</v>
      </c>
      <c r="L172" s="20" t="str">
        <f>VLOOKUP(I172,'HSL categorization'!$A$2:$B$49,2,1)</f>
        <v>Red</v>
      </c>
      <c r="M172" s="20"/>
      <c r="N172" s="20" t="str">
        <f>VLOOKUP(VALUE(K172),'HSL categorization'!D:E,2,TRUE)</f>
        <v>Medium</v>
      </c>
      <c r="O172" s="20"/>
      <c r="P172" s="1" t="s">
        <v>1878</v>
      </c>
      <c r="Q172" s="1" t="s">
        <v>1829</v>
      </c>
      <c r="R172" s="1" t="s">
        <v>1821</v>
      </c>
      <c r="S172" s="1" t="s">
        <v>1816</v>
      </c>
      <c r="T172" s="1" t="s">
        <v>1834</v>
      </c>
      <c r="X172" t="s">
        <v>1852</v>
      </c>
      <c r="AA172">
        <v>4.5999999999999996</v>
      </c>
      <c r="AB172" t="s">
        <v>1853</v>
      </c>
    </row>
    <row r="173" spans="1:28" x14ac:dyDescent="0.2">
      <c r="A173" s="1" t="s">
        <v>740</v>
      </c>
      <c r="B173" s="1" t="s">
        <v>741</v>
      </c>
      <c r="C173" s="1" t="s">
        <v>618</v>
      </c>
      <c r="D173" s="1" t="s">
        <v>619</v>
      </c>
      <c r="E173" s="1" t="s">
        <v>742</v>
      </c>
      <c r="F173" s="13" t="s">
        <v>743</v>
      </c>
      <c r="G173" s="206" t="s">
        <v>1056</v>
      </c>
      <c r="H173" s="25" t="s">
        <v>2055</v>
      </c>
      <c r="I173" s="26">
        <v>356</v>
      </c>
      <c r="J173" s="27" t="s">
        <v>2135</v>
      </c>
      <c r="K173" s="33">
        <v>0.66700000000000004</v>
      </c>
      <c r="L173" s="20" t="str">
        <f>VLOOKUP(I173,'HSL categorization'!$A$2:$B$49,2,1)</f>
        <v>Amaranth</v>
      </c>
      <c r="M173" s="20"/>
      <c r="N173" s="20" t="str">
        <f>VLOOKUP(VALUE(K173),'HSL categorization'!D:E,2,TRUE)</f>
        <v>Medium</v>
      </c>
      <c r="O173" s="20"/>
      <c r="P173" s="1" t="s">
        <v>1878</v>
      </c>
      <c r="Q173" s="1" t="s">
        <v>1829</v>
      </c>
      <c r="R173" s="1" t="s">
        <v>1821</v>
      </c>
      <c r="S173" s="1" t="s">
        <v>1816</v>
      </c>
      <c r="T173" s="1" t="s">
        <v>1834</v>
      </c>
      <c r="X173" t="s">
        <v>1852</v>
      </c>
      <c r="AA173">
        <v>4.5999999999999996</v>
      </c>
      <c r="AB173" t="s">
        <v>1870</v>
      </c>
    </row>
    <row r="174" spans="1:28" x14ac:dyDescent="0.2">
      <c r="A174" s="1" t="s">
        <v>744</v>
      </c>
      <c r="B174" s="1" t="s">
        <v>745</v>
      </c>
      <c r="C174" s="1" t="s">
        <v>746</v>
      </c>
      <c r="D174" s="1" t="s">
        <v>747</v>
      </c>
      <c r="E174" s="1" t="s">
        <v>748</v>
      </c>
      <c r="F174" s="13" t="s">
        <v>749</v>
      </c>
      <c r="G174" s="207" t="s">
        <v>899</v>
      </c>
      <c r="H174" s="25" t="s">
        <v>2056</v>
      </c>
      <c r="I174" s="26">
        <v>22</v>
      </c>
      <c r="J174" s="27" t="s">
        <v>2198</v>
      </c>
      <c r="K174" s="33">
        <v>0.41399999999999998</v>
      </c>
      <c r="L174" s="20" t="str">
        <f>VLOOKUP(I174,'HSL categorization'!$A$2:$B$49,2,1)</f>
        <v>Vermilion</v>
      </c>
      <c r="M174" s="20"/>
      <c r="N174" s="20" t="str">
        <f>VLOOKUP(VALUE(K174),'HSL categorization'!D:E,2,TRUE)</f>
        <v>Medium</v>
      </c>
      <c r="O174" s="20"/>
      <c r="P174" s="1" t="s">
        <v>1879</v>
      </c>
      <c r="Q174" s="1" t="s">
        <v>1865</v>
      </c>
      <c r="R174" s="1" t="s">
        <v>1842</v>
      </c>
      <c r="T174" s="1" t="s">
        <v>1830</v>
      </c>
      <c r="X174" t="s">
        <v>1842</v>
      </c>
      <c r="AA174">
        <v>3</v>
      </c>
      <c r="AB174" t="s">
        <v>1844</v>
      </c>
    </row>
    <row r="175" spans="1:28" x14ac:dyDescent="0.2">
      <c r="A175" s="1" t="s">
        <v>750</v>
      </c>
      <c r="B175" s="1" t="s">
        <v>751</v>
      </c>
      <c r="C175" s="1" t="s">
        <v>746</v>
      </c>
      <c r="D175" s="1" t="s">
        <v>747</v>
      </c>
      <c r="E175" s="1" t="s">
        <v>752</v>
      </c>
      <c r="F175" s="13" t="s">
        <v>753</v>
      </c>
      <c r="G175" s="208" t="s">
        <v>900</v>
      </c>
      <c r="H175" s="25" t="s">
        <v>2057</v>
      </c>
      <c r="I175" s="26">
        <v>13</v>
      </c>
      <c r="J175" s="27" t="s">
        <v>2199</v>
      </c>
      <c r="K175" s="33">
        <v>0.36299999999999999</v>
      </c>
      <c r="L175" s="20" t="str">
        <f>VLOOKUP(I175,'HSL categorization'!$A$2:$B$49,2,1)</f>
        <v>Scarlet</v>
      </c>
      <c r="M175" s="20"/>
      <c r="N175" s="20" t="str">
        <f>VLOOKUP(VALUE(K175),'HSL categorization'!D:E,2,TRUE)</f>
        <v>Dark</v>
      </c>
      <c r="O175" s="20"/>
      <c r="P175" s="1" t="s">
        <v>1879</v>
      </c>
      <c r="Q175" s="1" t="s">
        <v>1865</v>
      </c>
      <c r="R175" s="1" t="s">
        <v>1842</v>
      </c>
      <c r="T175" s="1" t="s">
        <v>1830</v>
      </c>
      <c r="X175" t="s">
        <v>1842</v>
      </c>
      <c r="AA175">
        <v>3</v>
      </c>
      <c r="AB175" t="s">
        <v>1844</v>
      </c>
    </row>
    <row r="176" spans="1:28" x14ac:dyDescent="0.2">
      <c r="A176" s="1" t="s">
        <v>754</v>
      </c>
      <c r="B176" s="1" t="s">
        <v>755</v>
      </c>
      <c r="C176" s="1" t="s">
        <v>756</v>
      </c>
      <c r="D176" s="1" t="s">
        <v>757</v>
      </c>
      <c r="E176" s="1" t="s">
        <v>758</v>
      </c>
      <c r="F176" s="13" t="s">
        <v>759</v>
      </c>
      <c r="G176" s="209" t="s">
        <v>1028</v>
      </c>
      <c r="H176" s="25" t="s">
        <v>2058</v>
      </c>
      <c r="I176" s="26">
        <v>2</v>
      </c>
      <c r="J176" s="27" t="s">
        <v>2200</v>
      </c>
      <c r="K176" s="33">
        <v>0.73099999999999998</v>
      </c>
      <c r="L176" s="20" t="str">
        <f>VLOOKUP(I176,'HSL categorization'!$A$2:$B$49,2,1)</f>
        <v>Red</v>
      </c>
      <c r="M176" s="20"/>
      <c r="N176" s="20" t="str">
        <f>VLOOKUP(VALUE(K176),'HSL categorization'!D:E,2,TRUE)</f>
        <v>Light</v>
      </c>
      <c r="O176" s="20"/>
      <c r="P176" s="1" t="s">
        <v>1878</v>
      </c>
      <c r="Q176" s="1" t="s">
        <v>1854</v>
      </c>
      <c r="R176" s="1" t="s">
        <v>1821</v>
      </c>
      <c r="S176" s="1" t="s">
        <v>1816</v>
      </c>
      <c r="T176" s="1" t="s">
        <v>1882</v>
      </c>
      <c r="X176" t="s">
        <v>1852</v>
      </c>
      <c r="AA176">
        <v>4.7</v>
      </c>
      <c r="AB176" t="s">
        <v>1870</v>
      </c>
    </row>
    <row r="177" spans="1:28" x14ac:dyDescent="0.2">
      <c r="A177" s="1" t="s">
        <v>760</v>
      </c>
      <c r="B177" s="1" t="s">
        <v>761</v>
      </c>
      <c r="C177" s="1" t="s">
        <v>756</v>
      </c>
      <c r="D177" s="1" t="s">
        <v>757</v>
      </c>
      <c r="E177" s="1" t="s">
        <v>762</v>
      </c>
      <c r="F177" s="2" t="s">
        <v>763</v>
      </c>
      <c r="G177" s="210" t="s">
        <v>1029</v>
      </c>
      <c r="H177" s="25" t="s">
        <v>2059</v>
      </c>
      <c r="I177" s="26">
        <v>352</v>
      </c>
      <c r="J177" s="27" t="s">
        <v>2201</v>
      </c>
      <c r="K177" s="33">
        <v>0.622</v>
      </c>
      <c r="L177" s="20" t="str">
        <f>VLOOKUP(I177,'HSL categorization'!$A$2:$B$49,2,1)</f>
        <v>Crimson</v>
      </c>
      <c r="M177" s="20"/>
      <c r="N177" s="20" t="str">
        <f>VLOOKUP(VALUE(K177),'HSL categorization'!D:E,2,TRUE)</f>
        <v>Medium</v>
      </c>
      <c r="O177" s="20"/>
      <c r="P177" s="1" t="s">
        <v>1878</v>
      </c>
      <c r="Q177" s="1" t="s">
        <v>1854</v>
      </c>
      <c r="R177" s="1" t="s">
        <v>1821</v>
      </c>
      <c r="S177" s="1" t="s">
        <v>1816</v>
      </c>
      <c r="T177" s="1" t="s">
        <v>1882</v>
      </c>
      <c r="X177" t="s">
        <v>1852</v>
      </c>
      <c r="AA177">
        <v>4.7</v>
      </c>
      <c r="AB177" t="s">
        <v>1870</v>
      </c>
    </row>
    <row r="178" spans="1:28" x14ac:dyDescent="0.2">
      <c r="A178" s="1" t="s">
        <v>764</v>
      </c>
      <c r="B178" s="1" t="s">
        <v>765</v>
      </c>
      <c r="C178" s="1" t="s">
        <v>756</v>
      </c>
      <c r="D178" s="1" t="s">
        <v>757</v>
      </c>
      <c r="E178" s="1" t="s">
        <v>766</v>
      </c>
      <c r="F178" s="2" t="s">
        <v>767</v>
      </c>
      <c r="G178" s="211" t="s">
        <v>1030</v>
      </c>
      <c r="H178" s="25" t="s">
        <v>2060</v>
      </c>
      <c r="I178" s="26">
        <v>11</v>
      </c>
      <c r="J178" s="27" t="s">
        <v>2202</v>
      </c>
      <c r="K178" s="33">
        <v>0.61599999999999999</v>
      </c>
      <c r="L178" s="20" t="str">
        <f>VLOOKUP(I178,'HSL categorization'!$A$2:$B$49,2,1)</f>
        <v>Scarlet</v>
      </c>
      <c r="M178" s="20"/>
      <c r="N178" s="20" t="str">
        <f>VLOOKUP(VALUE(K178),'HSL categorization'!D:E,2,TRUE)</f>
        <v>Medium</v>
      </c>
      <c r="O178" s="20"/>
      <c r="P178" s="1" t="s">
        <v>1878</v>
      </c>
      <c r="Q178" s="1" t="s">
        <v>1854</v>
      </c>
      <c r="R178" s="1" t="s">
        <v>1821</v>
      </c>
      <c r="S178" s="1" t="s">
        <v>1816</v>
      </c>
      <c r="T178" s="1" t="s">
        <v>1882</v>
      </c>
      <c r="X178" t="s">
        <v>1852</v>
      </c>
      <c r="AA178">
        <v>4.7</v>
      </c>
      <c r="AB178" t="s">
        <v>1870</v>
      </c>
    </row>
    <row r="179" spans="1:28" x14ac:dyDescent="0.2">
      <c r="A179" s="1" t="s">
        <v>768</v>
      </c>
      <c r="B179" s="1" t="s">
        <v>769</v>
      </c>
      <c r="C179" s="1" t="s">
        <v>756</v>
      </c>
      <c r="D179" s="1" t="s">
        <v>757</v>
      </c>
      <c r="E179" s="1" t="s">
        <v>770</v>
      </c>
      <c r="F179" s="13" t="s">
        <v>771</v>
      </c>
      <c r="G179" s="212" t="s">
        <v>1031</v>
      </c>
      <c r="H179" s="25" t="s">
        <v>2061</v>
      </c>
      <c r="I179" s="26">
        <v>346</v>
      </c>
      <c r="J179" s="27" t="s">
        <v>2203</v>
      </c>
      <c r="K179" s="33">
        <v>0.59599999999999997</v>
      </c>
      <c r="L179" s="20" t="str">
        <f>VLOOKUP(I179,'HSL categorization'!$A$2:$B$49,2,1)</f>
        <v>Crimson</v>
      </c>
      <c r="M179" s="20"/>
      <c r="N179" s="20" t="str">
        <f>VLOOKUP(VALUE(K179),'HSL categorization'!D:E,2,TRUE)</f>
        <v>Medium</v>
      </c>
      <c r="O179" s="20"/>
      <c r="P179" s="1" t="s">
        <v>1878</v>
      </c>
      <c r="Q179" s="1" t="s">
        <v>1854</v>
      </c>
      <c r="R179" s="1" t="s">
        <v>1821</v>
      </c>
      <c r="S179" s="1" t="s">
        <v>1816</v>
      </c>
      <c r="T179" s="1" t="s">
        <v>1882</v>
      </c>
      <c r="X179" t="s">
        <v>1852</v>
      </c>
      <c r="AA179">
        <v>4.7</v>
      </c>
      <c r="AB179" t="s">
        <v>1870</v>
      </c>
    </row>
    <row r="180" spans="1:28" x14ac:dyDescent="0.2">
      <c r="A180" s="1" t="s">
        <v>772</v>
      </c>
      <c r="B180" s="1" t="s">
        <v>773</v>
      </c>
      <c r="C180" s="1" t="s">
        <v>756</v>
      </c>
      <c r="D180" s="1" t="s">
        <v>757</v>
      </c>
      <c r="E180" s="1" t="s">
        <v>774</v>
      </c>
      <c r="F180" s="2" t="s">
        <v>775</v>
      </c>
      <c r="G180" s="213" t="s">
        <v>1032</v>
      </c>
      <c r="H180" s="25" t="s">
        <v>2062</v>
      </c>
      <c r="I180" s="26">
        <v>3</v>
      </c>
      <c r="J180" s="27" t="s">
        <v>2204</v>
      </c>
      <c r="K180" s="33">
        <v>0.59399999999999997</v>
      </c>
      <c r="L180" s="20" t="str">
        <f>VLOOKUP(I180,'HSL categorization'!$A$2:$B$49,2,1)</f>
        <v>Red</v>
      </c>
      <c r="M180" s="20"/>
      <c r="N180" s="20" t="str">
        <f>VLOOKUP(VALUE(K180),'HSL categorization'!D:E,2,TRUE)</f>
        <v>Medium</v>
      </c>
      <c r="O180" s="20"/>
      <c r="P180" s="1" t="s">
        <v>1878</v>
      </c>
      <c r="Q180" s="1" t="s">
        <v>1854</v>
      </c>
      <c r="R180" s="1" t="s">
        <v>1821</v>
      </c>
      <c r="S180" s="1" t="s">
        <v>1816</v>
      </c>
      <c r="T180" s="1" t="s">
        <v>1882</v>
      </c>
      <c r="X180" t="s">
        <v>1852</v>
      </c>
      <c r="AA180">
        <v>4.7</v>
      </c>
      <c r="AB180" t="s">
        <v>1870</v>
      </c>
    </row>
    <row r="181" spans="1:28" x14ac:dyDescent="0.2">
      <c r="A181" s="1" t="s">
        <v>776</v>
      </c>
      <c r="B181" s="1" t="s">
        <v>777</v>
      </c>
      <c r="C181" s="1" t="s">
        <v>756</v>
      </c>
      <c r="D181" s="1" t="s">
        <v>757</v>
      </c>
      <c r="E181" s="1" t="s">
        <v>778</v>
      </c>
      <c r="F181" s="2" t="s">
        <v>779</v>
      </c>
      <c r="G181" s="214" t="s">
        <v>1033</v>
      </c>
      <c r="H181" s="25" t="s">
        <v>2063</v>
      </c>
      <c r="I181" s="26">
        <v>7</v>
      </c>
      <c r="J181" s="27" t="s">
        <v>2205</v>
      </c>
      <c r="K181" s="33">
        <v>0.48399999999999999</v>
      </c>
      <c r="L181" s="20" t="str">
        <f>VLOOKUP(I181,'HSL categorization'!$A$2:$B$49,2,1)</f>
        <v>Red</v>
      </c>
      <c r="M181" s="20"/>
      <c r="N181" s="20" t="str">
        <f>VLOOKUP(VALUE(K181),'HSL categorization'!D:E,2,TRUE)</f>
        <v>Medium</v>
      </c>
      <c r="O181" s="20"/>
      <c r="P181" s="1" t="s">
        <v>1878</v>
      </c>
      <c r="Q181" s="1" t="s">
        <v>1854</v>
      </c>
      <c r="R181" s="1" t="s">
        <v>1821</v>
      </c>
      <c r="S181" s="1" t="s">
        <v>1816</v>
      </c>
      <c r="T181" s="1" t="s">
        <v>1882</v>
      </c>
      <c r="X181" t="s">
        <v>1852</v>
      </c>
      <c r="AA181">
        <v>4.7</v>
      </c>
      <c r="AB181" t="s">
        <v>1870</v>
      </c>
    </row>
    <row r="182" spans="1:28" x14ac:dyDescent="0.2">
      <c r="A182" s="1" t="s">
        <v>780</v>
      </c>
      <c r="B182" s="1" t="s">
        <v>781</v>
      </c>
      <c r="C182" s="1" t="s">
        <v>756</v>
      </c>
      <c r="D182" s="1" t="s">
        <v>757</v>
      </c>
      <c r="E182" s="1" t="s">
        <v>782</v>
      </c>
      <c r="F182" s="2" t="s">
        <v>783</v>
      </c>
      <c r="G182" s="215" t="s">
        <v>1034</v>
      </c>
      <c r="H182" s="25" t="s">
        <v>2064</v>
      </c>
      <c r="I182" s="26">
        <v>352</v>
      </c>
      <c r="J182" s="27" t="s">
        <v>2206</v>
      </c>
      <c r="K182" s="33">
        <v>0.50800000000000001</v>
      </c>
      <c r="L182" s="20" t="str">
        <f>VLOOKUP(I182,'HSL categorization'!$A$2:$B$49,2,1)</f>
        <v>Crimson</v>
      </c>
      <c r="M182" s="20"/>
      <c r="N182" s="20" t="str">
        <f>VLOOKUP(VALUE(K182),'HSL categorization'!D:E,2,TRUE)</f>
        <v>Medium</v>
      </c>
      <c r="O182" s="20"/>
      <c r="P182" s="1" t="s">
        <v>1878</v>
      </c>
      <c r="Q182" s="1" t="s">
        <v>1854</v>
      </c>
      <c r="R182" s="1" t="s">
        <v>1821</v>
      </c>
      <c r="S182" s="1" t="s">
        <v>1816</v>
      </c>
      <c r="T182" s="1" t="s">
        <v>1882</v>
      </c>
      <c r="X182" t="s">
        <v>1852</v>
      </c>
      <c r="AA182">
        <v>4.7</v>
      </c>
      <c r="AB182" t="s">
        <v>1870</v>
      </c>
    </row>
    <row r="183" spans="1:28" x14ac:dyDescent="0.2">
      <c r="A183" s="1" t="s">
        <v>784</v>
      </c>
      <c r="B183" s="1" t="s">
        <v>785</v>
      </c>
      <c r="C183" s="1" t="s">
        <v>756</v>
      </c>
      <c r="D183" s="1" t="s">
        <v>757</v>
      </c>
      <c r="E183" s="1" t="s">
        <v>786</v>
      </c>
      <c r="F183" s="13" t="s">
        <v>787</v>
      </c>
      <c r="G183" s="216" t="s">
        <v>1035</v>
      </c>
      <c r="H183" s="25" t="s">
        <v>2065</v>
      </c>
      <c r="I183" s="26">
        <v>350</v>
      </c>
      <c r="J183" s="27" t="s">
        <v>2207</v>
      </c>
      <c r="K183" s="33">
        <v>0.51800000000000002</v>
      </c>
      <c r="L183" s="20" t="str">
        <f>VLOOKUP(I183,'HSL categorization'!$A$2:$B$49,2,1)</f>
        <v>Crimson</v>
      </c>
      <c r="M183" s="20"/>
      <c r="N183" s="20" t="str">
        <f>VLOOKUP(VALUE(K183),'HSL categorization'!D:E,2,TRUE)</f>
        <v>Medium</v>
      </c>
      <c r="O183" s="20"/>
      <c r="P183" s="1" t="s">
        <v>1878</v>
      </c>
      <c r="Q183" s="1" t="s">
        <v>1854</v>
      </c>
      <c r="R183" s="1" t="s">
        <v>1821</v>
      </c>
      <c r="S183" s="1" t="s">
        <v>1816</v>
      </c>
      <c r="T183" s="1" t="s">
        <v>1882</v>
      </c>
      <c r="X183" t="s">
        <v>1852</v>
      </c>
      <c r="AA183">
        <v>4.7</v>
      </c>
      <c r="AB183" t="s">
        <v>1870</v>
      </c>
    </row>
    <row r="184" spans="1:28" x14ac:dyDescent="0.2">
      <c r="A184" s="1" t="s">
        <v>788</v>
      </c>
      <c r="B184" s="1" t="s">
        <v>789</v>
      </c>
      <c r="C184" s="1" t="s">
        <v>756</v>
      </c>
      <c r="D184" s="1" t="s">
        <v>757</v>
      </c>
      <c r="E184" s="1" t="s">
        <v>790</v>
      </c>
      <c r="F184" s="2" t="s">
        <v>791</v>
      </c>
      <c r="G184" s="217" t="s">
        <v>1036</v>
      </c>
      <c r="H184" s="25" t="s">
        <v>2066</v>
      </c>
      <c r="I184" s="26">
        <v>9</v>
      </c>
      <c r="J184" s="27" t="s">
        <v>2166</v>
      </c>
      <c r="K184" s="33">
        <v>0.52500000000000002</v>
      </c>
      <c r="L184" s="20" t="str">
        <f>VLOOKUP(I184,'HSL categorization'!$A$2:$B$49,2,1)</f>
        <v>Scarlet</v>
      </c>
      <c r="M184" s="20"/>
      <c r="N184" s="20" t="str">
        <f>VLOOKUP(VALUE(K184),'HSL categorization'!D:E,2,TRUE)</f>
        <v>Medium</v>
      </c>
      <c r="O184" s="20"/>
      <c r="P184" s="1" t="s">
        <v>1878</v>
      </c>
      <c r="Q184" s="1" t="s">
        <v>1854</v>
      </c>
      <c r="R184" s="1" t="s">
        <v>1821</v>
      </c>
      <c r="S184" s="1" t="s">
        <v>1816</v>
      </c>
      <c r="T184" s="1" t="s">
        <v>1882</v>
      </c>
      <c r="X184" t="s">
        <v>1852</v>
      </c>
      <c r="AA184">
        <v>4.7</v>
      </c>
      <c r="AB184" t="s">
        <v>1870</v>
      </c>
    </row>
    <row r="185" spans="1:28" x14ac:dyDescent="0.2">
      <c r="A185" s="1" t="s">
        <v>792</v>
      </c>
      <c r="B185" s="1" t="s">
        <v>793</v>
      </c>
      <c r="C185" s="1" t="s">
        <v>756</v>
      </c>
      <c r="D185" s="1" t="s">
        <v>757</v>
      </c>
      <c r="E185" s="1" t="s">
        <v>794</v>
      </c>
      <c r="F185" s="2" t="s">
        <v>795</v>
      </c>
      <c r="G185" s="218" t="s">
        <v>1037</v>
      </c>
      <c r="H185" s="25" t="s">
        <v>2067</v>
      </c>
      <c r="I185" s="26">
        <v>338</v>
      </c>
      <c r="J185" s="27" t="s">
        <v>2208</v>
      </c>
      <c r="K185" s="33">
        <v>0.34699999999999998</v>
      </c>
      <c r="L185" s="20" t="str">
        <f>VLOOKUP(I185,'HSL categorization'!$A$2:$B$49,2,1)</f>
        <v>Raspberry</v>
      </c>
      <c r="M185" s="20"/>
      <c r="N185" s="20" t="str">
        <f>VLOOKUP(VALUE(K185),'HSL categorization'!D:E,2,TRUE)</f>
        <v>Dark</v>
      </c>
      <c r="O185" s="20"/>
      <c r="P185" s="1" t="s">
        <v>1878</v>
      </c>
      <c r="Q185" s="1" t="s">
        <v>1854</v>
      </c>
      <c r="R185" s="1" t="s">
        <v>1821</v>
      </c>
      <c r="S185" s="1" t="s">
        <v>1816</v>
      </c>
      <c r="T185" s="1" t="s">
        <v>1882</v>
      </c>
      <c r="X185" t="s">
        <v>1852</v>
      </c>
      <c r="AA185">
        <v>4.7</v>
      </c>
      <c r="AB185" t="s">
        <v>1870</v>
      </c>
    </row>
    <row r="186" spans="1:28" x14ac:dyDescent="0.2">
      <c r="A186" s="1" t="s">
        <v>796</v>
      </c>
      <c r="B186" s="1" t="s">
        <v>797</v>
      </c>
      <c r="C186" s="1" t="s">
        <v>756</v>
      </c>
      <c r="D186" s="1" t="s">
        <v>757</v>
      </c>
      <c r="E186" s="1" t="s">
        <v>798</v>
      </c>
      <c r="F186" s="2" t="s">
        <v>799</v>
      </c>
      <c r="G186" s="219" t="s">
        <v>1038</v>
      </c>
      <c r="H186" s="25" t="s">
        <v>2068</v>
      </c>
      <c r="I186" s="26">
        <v>354</v>
      </c>
      <c r="J186" s="27" t="s">
        <v>2209</v>
      </c>
      <c r="K186" s="33">
        <v>0.29599999999999999</v>
      </c>
      <c r="L186" s="20" t="str">
        <f>VLOOKUP(I186,'HSL categorization'!$A$2:$B$49,2,1)</f>
        <v>Amaranth</v>
      </c>
      <c r="M186" s="20"/>
      <c r="N186" s="20" t="str">
        <f>VLOOKUP(VALUE(K186),'HSL categorization'!D:E,2,TRUE)</f>
        <v>Dark</v>
      </c>
      <c r="O186" s="20"/>
      <c r="P186" s="1" t="s">
        <v>1878</v>
      </c>
      <c r="Q186" s="1" t="s">
        <v>1854</v>
      </c>
      <c r="R186" s="1" t="s">
        <v>1821</v>
      </c>
      <c r="S186" s="1" t="s">
        <v>1816</v>
      </c>
      <c r="T186" s="1" t="s">
        <v>1882</v>
      </c>
      <c r="X186" t="s">
        <v>1852</v>
      </c>
      <c r="AA186">
        <v>4.7</v>
      </c>
      <c r="AB186" t="s">
        <v>1870</v>
      </c>
    </row>
    <row r="187" spans="1:28" x14ac:dyDescent="0.2">
      <c r="A187" s="1" t="s">
        <v>800</v>
      </c>
      <c r="B187" s="1" t="s">
        <v>801</v>
      </c>
      <c r="C187" s="1" t="s">
        <v>756</v>
      </c>
      <c r="D187" s="1" t="s">
        <v>757</v>
      </c>
      <c r="E187" s="1" t="s">
        <v>802</v>
      </c>
      <c r="F187" s="13" t="s">
        <v>803</v>
      </c>
      <c r="G187" s="220" t="s">
        <v>1039</v>
      </c>
      <c r="H187" s="25" t="s">
        <v>2069</v>
      </c>
      <c r="I187" s="26">
        <v>359</v>
      </c>
      <c r="J187" s="27" t="s">
        <v>2210</v>
      </c>
      <c r="K187" s="33">
        <v>0.42199999999999999</v>
      </c>
      <c r="L187" s="20" t="str">
        <f>VLOOKUP(I187,'HSL categorization'!$A$2:$B$49,2,1)</f>
        <v>Amaranth</v>
      </c>
      <c r="M187" s="20"/>
      <c r="N187" s="20" t="str">
        <f>VLOOKUP(VALUE(K187),'HSL categorization'!D:E,2,TRUE)</f>
        <v>Medium</v>
      </c>
      <c r="O187" s="20"/>
      <c r="P187" s="1" t="s">
        <v>1878</v>
      </c>
      <c r="Q187" s="1" t="s">
        <v>1854</v>
      </c>
      <c r="R187" s="1" t="s">
        <v>1821</v>
      </c>
      <c r="S187" s="1" t="s">
        <v>1816</v>
      </c>
      <c r="T187" s="1" t="s">
        <v>1882</v>
      </c>
      <c r="X187" t="s">
        <v>1852</v>
      </c>
      <c r="AA187">
        <v>4.7</v>
      </c>
      <c r="AB187" t="s">
        <v>1870</v>
      </c>
    </row>
    <row r="188" spans="1:28" x14ac:dyDescent="0.2">
      <c r="A188" s="1" t="s">
        <v>804</v>
      </c>
      <c r="B188" s="1" t="s">
        <v>805</v>
      </c>
      <c r="C188" s="1" t="s">
        <v>756</v>
      </c>
      <c r="D188" s="1" t="s">
        <v>757</v>
      </c>
      <c r="E188" s="1" t="s">
        <v>806</v>
      </c>
      <c r="F188" s="2" t="s">
        <v>807</v>
      </c>
      <c r="G188" s="221" t="s">
        <v>1040</v>
      </c>
      <c r="H188" s="25" t="s">
        <v>2070</v>
      </c>
      <c r="I188" s="26">
        <v>10</v>
      </c>
      <c r="J188" s="27" t="s">
        <v>2152</v>
      </c>
      <c r="K188" s="33">
        <v>0.50800000000000001</v>
      </c>
      <c r="L188" s="20" t="str">
        <f>VLOOKUP(I188,'HSL categorization'!$A$2:$B$49,2,1)</f>
        <v>Scarlet</v>
      </c>
      <c r="M188" s="20"/>
      <c r="N188" s="20" t="str">
        <f>VLOOKUP(VALUE(K188),'HSL categorization'!D:E,2,TRUE)</f>
        <v>Medium</v>
      </c>
      <c r="O188" s="20"/>
      <c r="P188" s="1" t="s">
        <v>1878</v>
      </c>
      <c r="Q188" s="1" t="s">
        <v>1854</v>
      </c>
      <c r="R188" s="1" t="s">
        <v>1821</v>
      </c>
      <c r="S188" s="1" t="s">
        <v>1816</v>
      </c>
      <c r="T188" s="1" t="s">
        <v>1882</v>
      </c>
      <c r="X188" t="s">
        <v>1852</v>
      </c>
      <c r="AA188">
        <v>4.7</v>
      </c>
      <c r="AB188" t="s">
        <v>1870</v>
      </c>
    </row>
    <row r="189" spans="1:28" x14ac:dyDescent="0.2">
      <c r="A189" s="1" t="s">
        <v>808</v>
      </c>
      <c r="B189" s="1" t="s">
        <v>809</v>
      </c>
      <c r="C189" s="1" t="s">
        <v>756</v>
      </c>
      <c r="D189" s="1" t="s">
        <v>757</v>
      </c>
      <c r="E189" s="1" t="s">
        <v>810</v>
      </c>
      <c r="F189" s="2" t="s">
        <v>811</v>
      </c>
      <c r="G189" s="222" t="s">
        <v>1041</v>
      </c>
      <c r="H189" s="25" t="s">
        <v>2071</v>
      </c>
      <c r="I189" s="26">
        <v>340</v>
      </c>
      <c r="J189" s="27" t="s">
        <v>2211</v>
      </c>
      <c r="K189" s="33">
        <v>0.14899999999999999</v>
      </c>
      <c r="L189" s="20" t="str">
        <f>VLOOKUP(I189,'HSL categorization'!$A$2:$B$49,2,1)</f>
        <v>Raspberry</v>
      </c>
      <c r="M189" s="20"/>
      <c r="N189" s="20" t="str">
        <f>VLOOKUP(VALUE(K189),'HSL categorization'!D:E,2,TRUE)</f>
        <v>Dark</v>
      </c>
      <c r="O189" s="20"/>
      <c r="P189" s="1" t="s">
        <v>1878</v>
      </c>
      <c r="Q189" s="1" t="s">
        <v>1854</v>
      </c>
      <c r="R189" s="1" t="s">
        <v>1821</v>
      </c>
      <c r="S189" s="1" t="s">
        <v>1816</v>
      </c>
      <c r="T189" s="1" t="s">
        <v>1882</v>
      </c>
      <c r="X189" t="s">
        <v>1852</v>
      </c>
      <c r="AA189">
        <v>4.7</v>
      </c>
      <c r="AB189" t="s">
        <v>1870</v>
      </c>
    </row>
    <row r="190" spans="1:28" x14ac:dyDescent="0.2">
      <c r="A190" s="1" t="s">
        <v>812</v>
      </c>
      <c r="B190" s="1" t="s">
        <v>813</v>
      </c>
      <c r="C190" s="1" t="s">
        <v>756</v>
      </c>
      <c r="D190" s="1" t="s">
        <v>757</v>
      </c>
      <c r="E190" s="1" t="s">
        <v>814</v>
      </c>
      <c r="F190" s="13" t="s">
        <v>815</v>
      </c>
      <c r="G190" s="223" t="s">
        <v>1042</v>
      </c>
      <c r="H190" s="25" t="s">
        <v>2072</v>
      </c>
      <c r="I190" s="26">
        <v>312</v>
      </c>
      <c r="J190" s="27" t="s">
        <v>2212</v>
      </c>
      <c r="K190" s="33">
        <v>0.82199999999999995</v>
      </c>
      <c r="L190" s="20" t="str">
        <f>VLOOKUP(I190,'HSL categorization'!$A$2:$B$49,2,1)</f>
        <v>Orchid</v>
      </c>
      <c r="M190" s="20"/>
      <c r="N190" s="20" t="str">
        <f>VLOOKUP(VALUE(K190),'HSL categorization'!D:E,2,TRUE)</f>
        <v>Light</v>
      </c>
      <c r="O190" s="20"/>
      <c r="P190" s="1" t="s">
        <v>1878</v>
      </c>
      <c r="Q190" s="1" t="s">
        <v>1854</v>
      </c>
      <c r="R190" s="1" t="s">
        <v>1821</v>
      </c>
      <c r="S190" s="1" t="s">
        <v>1816</v>
      </c>
      <c r="T190" s="1" t="s">
        <v>1882</v>
      </c>
      <c r="X190" t="s">
        <v>1852</v>
      </c>
      <c r="AA190">
        <v>4.7</v>
      </c>
      <c r="AB190" t="s">
        <v>1870</v>
      </c>
    </row>
    <row r="191" spans="1:28" x14ac:dyDescent="0.2">
      <c r="A191" s="1" t="s">
        <v>816</v>
      </c>
      <c r="B191" s="1" t="s">
        <v>817</v>
      </c>
      <c r="C191" s="1" t="s">
        <v>756</v>
      </c>
      <c r="D191" s="1" t="s">
        <v>757</v>
      </c>
      <c r="E191" s="1" t="s">
        <v>818</v>
      </c>
      <c r="F191" s="2" t="s">
        <v>819</v>
      </c>
      <c r="G191" s="224" t="s">
        <v>1043</v>
      </c>
      <c r="H191" s="25" t="s">
        <v>2073</v>
      </c>
      <c r="I191" s="26">
        <v>7</v>
      </c>
      <c r="J191" s="27" t="s">
        <v>2213</v>
      </c>
      <c r="K191" s="33">
        <v>0.50600000000000001</v>
      </c>
      <c r="L191" s="20" t="str">
        <f>VLOOKUP(I191,'HSL categorization'!$A$2:$B$49,2,1)</f>
        <v>Red</v>
      </c>
      <c r="M191" s="20"/>
      <c r="N191" s="20" t="str">
        <f>VLOOKUP(VALUE(K191),'HSL categorization'!D:E,2,TRUE)</f>
        <v>Medium</v>
      </c>
      <c r="O191" s="20"/>
      <c r="P191" s="1" t="s">
        <v>1878</v>
      </c>
      <c r="Q191" s="1" t="s">
        <v>1854</v>
      </c>
      <c r="R191" s="1" t="s">
        <v>1821</v>
      </c>
      <c r="S191" s="1" t="s">
        <v>1816</v>
      </c>
      <c r="T191" s="1" t="s">
        <v>1882</v>
      </c>
      <c r="X191" t="s">
        <v>1852</v>
      </c>
      <c r="AA191">
        <v>4.7</v>
      </c>
      <c r="AB191" t="s">
        <v>1870</v>
      </c>
    </row>
    <row r="192" spans="1:28" x14ac:dyDescent="0.2">
      <c r="A192" s="1" t="s">
        <v>820</v>
      </c>
      <c r="B192" s="1" t="s">
        <v>821</v>
      </c>
      <c r="C192" s="1" t="s">
        <v>756</v>
      </c>
      <c r="D192" s="1" t="s">
        <v>757</v>
      </c>
      <c r="E192" s="1" t="s">
        <v>822</v>
      </c>
      <c r="F192" s="2" t="s">
        <v>823</v>
      </c>
      <c r="G192" s="225" t="s">
        <v>1044</v>
      </c>
      <c r="H192" s="25" t="s">
        <v>2074</v>
      </c>
      <c r="I192" s="26">
        <v>343</v>
      </c>
      <c r="J192" s="27" t="s">
        <v>2214</v>
      </c>
      <c r="K192" s="33">
        <v>0.49</v>
      </c>
      <c r="L192" s="20" t="str">
        <f>VLOOKUP(I192,'HSL categorization'!$A$2:$B$49,2,1)</f>
        <v>Raspberry</v>
      </c>
      <c r="M192" s="20"/>
      <c r="N192" s="20" t="str">
        <f>VLOOKUP(VALUE(K192),'HSL categorization'!D:E,2,TRUE)</f>
        <v>Medium</v>
      </c>
      <c r="O192" s="20"/>
      <c r="P192" s="1" t="s">
        <v>1878</v>
      </c>
      <c r="Q192" s="1" t="s">
        <v>1854</v>
      </c>
      <c r="R192" s="1" t="s">
        <v>1821</v>
      </c>
      <c r="S192" s="1" t="s">
        <v>1816</v>
      </c>
      <c r="T192" s="1" t="s">
        <v>1882</v>
      </c>
      <c r="X192" t="s">
        <v>1852</v>
      </c>
      <c r="AA192">
        <v>4.7</v>
      </c>
      <c r="AB192" t="s">
        <v>1870</v>
      </c>
    </row>
    <row r="193" spans="1:28" x14ac:dyDescent="0.2">
      <c r="A193" s="1" t="s">
        <v>824</v>
      </c>
      <c r="B193" s="1" t="s">
        <v>825</v>
      </c>
      <c r="C193" s="1" t="s">
        <v>756</v>
      </c>
      <c r="D193" s="1" t="s">
        <v>757</v>
      </c>
      <c r="E193" s="1" t="s">
        <v>826</v>
      </c>
      <c r="F193" s="13" t="s">
        <v>827</v>
      </c>
      <c r="G193" s="226" t="s">
        <v>1045</v>
      </c>
      <c r="H193" s="25" t="s">
        <v>2075</v>
      </c>
      <c r="I193" s="26">
        <v>349</v>
      </c>
      <c r="J193" s="27" t="s">
        <v>2215</v>
      </c>
      <c r="K193" s="33">
        <v>0.27500000000000002</v>
      </c>
      <c r="L193" s="20" t="str">
        <f>VLOOKUP(I193,'HSL categorization'!$A$2:$B$49,2,1)</f>
        <v>Crimson</v>
      </c>
      <c r="M193" s="20"/>
      <c r="N193" s="20" t="str">
        <f>VLOOKUP(VALUE(K193),'HSL categorization'!D:E,2,TRUE)</f>
        <v>Dark</v>
      </c>
      <c r="O193" s="20"/>
      <c r="P193" s="1" t="s">
        <v>1878</v>
      </c>
      <c r="Q193" s="1" t="s">
        <v>1854</v>
      </c>
      <c r="R193" s="1" t="s">
        <v>1821</v>
      </c>
      <c r="S193" s="1" t="s">
        <v>1816</v>
      </c>
      <c r="T193" s="1" t="s">
        <v>1882</v>
      </c>
      <c r="X193" t="s">
        <v>1852</v>
      </c>
      <c r="AA193">
        <v>4.7</v>
      </c>
      <c r="AB193" t="s">
        <v>1870</v>
      </c>
    </row>
    <row r="194" spans="1:28" x14ac:dyDescent="0.2">
      <c r="A194" s="1" t="s">
        <v>828</v>
      </c>
      <c r="B194" s="1" t="s">
        <v>829</v>
      </c>
      <c r="C194" s="1" t="s">
        <v>756</v>
      </c>
      <c r="D194" s="1" t="s">
        <v>757</v>
      </c>
      <c r="E194" s="1" t="s">
        <v>830</v>
      </c>
      <c r="F194" s="13" t="s">
        <v>831</v>
      </c>
      <c r="G194" s="227" t="s">
        <v>1046</v>
      </c>
      <c r="H194" s="25" t="s">
        <v>2076</v>
      </c>
      <c r="I194" s="26">
        <v>352</v>
      </c>
      <c r="J194" s="27" t="s">
        <v>2216</v>
      </c>
      <c r="K194" s="33">
        <v>0.184</v>
      </c>
      <c r="L194" s="20" t="str">
        <f>VLOOKUP(I194,'HSL categorization'!$A$2:$B$49,2,1)</f>
        <v>Crimson</v>
      </c>
      <c r="M194" s="20"/>
      <c r="N194" s="20" t="str">
        <f>VLOOKUP(VALUE(K194),'HSL categorization'!D:E,2,TRUE)</f>
        <v>Dark</v>
      </c>
      <c r="O194" s="20"/>
      <c r="P194" s="1" t="s">
        <v>1878</v>
      </c>
      <c r="Q194" s="1" t="s">
        <v>1854</v>
      </c>
      <c r="R194" s="1" t="s">
        <v>1821</v>
      </c>
      <c r="S194" s="1" t="s">
        <v>1816</v>
      </c>
      <c r="T194" s="1" t="s">
        <v>1882</v>
      </c>
      <c r="X194" t="s">
        <v>1852</v>
      </c>
      <c r="AA194">
        <v>4.7</v>
      </c>
      <c r="AB194" t="s">
        <v>1870</v>
      </c>
    </row>
    <row r="195" spans="1:28" x14ac:dyDescent="0.2">
      <c r="A195" s="1" t="s">
        <v>832</v>
      </c>
      <c r="B195" s="1" t="s">
        <v>833</v>
      </c>
      <c r="C195" s="1" t="s">
        <v>756</v>
      </c>
      <c r="D195" s="1" t="s">
        <v>757</v>
      </c>
      <c r="E195" s="1" t="s">
        <v>834</v>
      </c>
      <c r="F195" s="13" t="s">
        <v>835</v>
      </c>
      <c r="G195" s="228" t="s">
        <v>1047</v>
      </c>
      <c r="H195" s="25" t="s">
        <v>2077</v>
      </c>
      <c r="I195" s="26">
        <v>347</v>
      </c>
      <c r="J195" s="27" t="s">
        <v>2179</v>
      </c>
      <c r="K195" s="33">
        <v>0.67500000000000004</v>
      </c>
      <c r="L195" s="20" t="str">
        <f>VLOOKUP(I195,'HSL categorization'!$A$2:$B$49,2,1)</f>
        <v>Crimson</v>
      </c>
      <c r="M195" s="20"/>
      <c r="N195" s="20" t="str">
        <f>VLOOKUP(VALUE(K195),'HSL categorization'!D:E,2,TRUE)</f>
        <v>Medium</v>
      </c>
      <c r="O195" s="20"/>
      <c r="P195" s="1" t="s">
        <v>1878</v>
      </c>
      <c r="Q195" s="1" t="s">
        <v>1854</v>
      </c>
      <c r="R195" s="1" t="s">
        <v>1821</v>
      </c>
      <c r="S195" s="1" t="s">
        <v>1816</v>
      </c>
      <c r="T195" s="1" t="s">
        <v>1882</v>
      </c>
      <c r="X195" t="s">
        <v>1852</v>
      </c>
      <c r="AA195">
        <v>4.7</v>
      </c>
      <c r="AB195" t="s">
        <v>1870</v>
      </c>
    </row>
    <row r="196" spans="1:28" x14ac:dyDescent="0.2">
      <c r="A196" s="1" t="s">
        <v>836</v>
      </c>
      <c r="B196" s="1" t="s">
        <v>837</v>
      </c>
      <c r="C196" s="1" t="s">
        <v>756</v>
      </c>
      <c r="D196" s="1" t="s">
        <v>757</v>
      </c>
      <c r="E196" s="1" t="s">
        <v>838</v>
      </c>
      <c r="F196" s="13" t="s">
        <v>839</v>
      </c>
      <c r="G196" s="229" t="s">
        <v>1048</v>
      </c>
      <c r="H196" s="25" t="s">
        <v>2078</v>
      </c>
      <c r="I196" s="26">
        <v>342</v>
      </c>
      <c r="J196" s="27" t="s">
        <v>2217</v>
      </c>
      <c r="K196" s="33">
        <v>0.53900000000000003</v>
      </c>
      <c r="L196" s="20" t="str">
        <f>VLOOKUP(I196,'HSL categorization'!$A$2:$B$49,2,1)</f>
        <v>Raspberry</v>
      </c>
      <c r="M196" s="20"/>
      <c r="N196" s="20" t="str">
        <f>VLOOKUP(VALUE(K196),'HSL categorization'!D:E,2,TRUE)</f>
        <v>Medium</v>
      </c>
      <c r="O196" s="20"/>
      <c r="P196" s="1" t="s">
        <v>1878</v>
      </c>
      <c r="Q196" s="1" t="s">
        <v>1854</v>
      </c>
      <c r="R196" s="1" t="s">
        <v>1821</v>
      </c>
      <c r="S196" s="1" t="s">
        <v>1816</v>
      </c>
      <c r="T196" s="1" t="s">
        <v>1882</v>
      </c>
      <c r="X196" t="s">
        <v>1852</v>
      </c>
      <c r="AA196">
        <v>4.7</v>
      </c>
      <c r="AB196" t="s">
        <v>1870</v>
      </c>
    </row>
    <row r="197" spans="1:28" x14ac:dyDescent="0.2">
      <c r="A197" s="1" t="s">
        <v>840</v>
      </c>
      <c r="B197" s="1" t="s">
        <v>841</v>
      </c>
      <c r="C197" s="1" t="s">
        <v>70</v>
      </c>
      <c r="D197" s="1" t="s">
        <v>71</v>
      </c>
      <c r="E197" s="1" t="s">
        <v>842</v>
      </c>
      <c r="F197" s="13" t="s">
        <v>843</v>
      </c>
      <c r="G197" s="230" t="s">
        <v>895</v>
      </c>
      <c r="H197" s="25" t="s">
        <v>2079</v>
      </c>
      <c r="I197" s="26">
        <v>12</v>
      </c>
      <c r="J197" s="27" t="s">
        <v>2218</v>
      </c>
      <c r="K197" s="33">
        <v>0.57499999999999996</v>
      </c>
      <c r="L197" s="20" t="str">
        <f>VLOOKUP(I197,'HSL categorization'!$A$2:$B$49,2,1)</f>
        <v>Scarlet</v>
      </c>
      <c r="M197" s="20"/>
      <c r="N197" s="20" t="str">
        <f>VLOOKUP(VALUE(K197),'HSL categorization'!D:E,2,TRUE)</f>
        <v>Medium</v>
      </c>
      <c r="O197" s="20"/>
      <c r="P197" s="1" t="s">
        <v>1879</v>
      </c>
      <c r="Q197" s="1" t="s">
        <v>1865</v>
      </c>
      <c r="R197" s="1" t="s">
        <v>1842</v>
      </c>
      <c r="S197" s="1" t="s">
        <v>1842</v>
      </c>
      <c r="T197" s="1" t="s">
        <v>1834</v>
      </c>
      <c r="X197" t="s">
        <v>1842</v>
      </c>
      <c r="AA197">
        <v>1</v>
      </c>
      <c r="AB197" t="s">
        <v>1844</v>
      </c>
    </row>
    <row r="198" spans="1:28" x14ac:dyDescent="0.2">
      <c r="A198" s="1" t="s">
        <v>844</v>
      </c>
      <c r="B198" s="1" t="s">
        <v>845</v>
      </c>
      <c r="C198" s="1" t="s">
        <v>42</v>
      </c>
      <c r="D198" s="1" t="s">
        <v>43</v>
      </c>
      <c r="E198" s="1" t="s">
        <v>846</v>
      </c>
      <c r="F198" s="13" t="s">
        <v>847</v>
      </c>
      <c r="G198" s="231" t="s">
        <v>1049</v>
      </c>
      <c r="H198" s="25" t="s">
        <v>2080</v>
      </c>
      <c r="I198" s="26">
        <v>60</v>
      </c>
      <c r="J198" s="27" t="s">
        <v>2219</v>
      </c>
      <c r="K198" s="33">
        <v>0.76300000000000001</v>
      </c>
      <c r="L198" s="20" t="str">
        <f>VLOOKUP(I198,'HSL categorization'!$A$2:$B$49,2,1)</f>
        <v>Yellow</v>
      </c>
      <c r="M198" s="20"/>
      <c r="N198" s="20" t="str">
        <f>VLOOKUP(VALUE(K198),'HSL categorization'!D:E,2,TRUE)</f>
        <v>Light</v>
      </c>
      <c r="O198" s="20"/>
      <c r="P198" s="1" t="s">
        <v>1878</v>
      </c>
      <c r="Q198" s="1" t="s">
        <v>1873</v>
      </c>
      <c r="R198" s="1" t="s">
        <v>1821</v>
      </c>
      <c r="S198" s="1" t="s">
        <v>1816</v>
      </c>
      <c r="T198" s="1" t="s">
        <v>1882</v>
      </c>
      <c r="U198" s="1" t="s">
        <v>1884</v>
      </c>
      <c r="X198" t="s">
        <v>1859</v>
      </c>
      <c r="AA198">
        <v>5</v>
      </c>
      <c r="AB198" t="s">
        <v>1832</v>
      </c>
    </row>
    <row r="199" spans="1:28" x14ac:dyDescent="0.2">
      <c r="A199" s="1" t="s">
        <v>848</v>
      </c>
      <c r="B199" s="1" t="s">
        <v>849</v>
      </c>
      <c r="C199" s="1" t="s">
        <v>48</v>
      </c>
      <c r="D199" s="1" t="s">
        <v>49</v>
      </c>
      <c r="E199" s="1" t="s">
        <v>850</v>
      </c>
      <c r="F199" s="13" t="s">
        <v>851</v>
      </c>
      <c r="G199" s="232" t="s">
        <v>1011</v>
      </c>
      <c r="H199" s="25" t="s">
        <v>2081</v>
      </c>
      <c r="I199" s="26">
        <v>1</v>
      </c>
      <c r="J199" s="27" t="s">
        <v>2103</v>
      </c>
      <c r="K199" s="33">
        <v>0.86099999999999999</v>
      </c>
      <c r="L199" s="20" t="str">
        <f>VLOOKUP(I199,'HSL categorization'!$A$2:$B$49,2,1)</f>
        <v>Red</v>
      </c>
      <c r="M199" s="20"/>
      <c r="N199" s="20" t="str">
        <f>VLOOKUP(VALUE(K199),'HSL categorization'!D:E,2,TRUE)</f>
        <v>Light</v>
      </c>
      <c r="O199" s="20"/>
      <c r="P199" s="1" t="s">
        <v>1878</v>
      </c>
      <c r="Q199" s="1" t="s">
        <v>1835</v>
      </c>
      <c r="R199" s="1" t="s">
        <v>1821</v>
      </c>
      <c r="S199" s="1" t="s">
        <v>1823</v>
      </c>
      <c r="T199" s="1" t="s">
        <v>1834</v>
      </c>
      <c r="U199" s="1" t="s">
        <v>1831</v>
      </c>
      <c r="V199" s="1" t="s">
        <v>1839</v>
      </c>
      <c r="X199" s="1" t="s">
        <v>1859</v>
      </c>
      <c r="AA199">
        <v>4.5999999999999996</v>
      </c>
      <c r="AB199" t="s">
        <v>1832</v>
      </c>
    </row>
    <row r="200" spans="1:28" x14ac:dyDescent="0.2">
      <c r="A200" s="1" t="s">
        <v>852</v>
      </c>
      <c r="B200" s="1" t="s">
        <v>853</v>
      </c>
      <c r="C200" s="1" t="s">
        <v>48</v>
      </c>
      <c r="D200" s="1" t="s">
        <v>49</v>
      </c>
      <c r="E200" s="1" t="s">
        <v>854</v>
      </c>
      <c r="F200" s="13" t="s">
        <v>855</v>
      </c>
      <c r="G200" s="233" t="s">
        <v>1012</v>
      </c>
      <c r="H200" s="25" t="s">
        <v>2082</v>
      </c>
      <c r="I200" s="26">
        <v>347</v>
      </c>
      <c r="J200" s="27" t="s">
        <v>2220</v>
      </c>
      <c r="K200" s="33">
        <v>0.58399999999999996</v>
      </c>
      <c r="L200" s="20" t="str">
        <f>VLOOKUP(I200,'HSL categorization'!$A$2:$B$49,2,1)</f>
        <v>Crimson</v>
      </c>
      <c r="M200" s="20"/>
      <c r="N200" s="20" t="str">
        <f>VLOOKUP(VALUE(K200),'HSL categorization'!D:E,2,TRUE)</f>
        <v>Medium</v>
      </c>
      <c r="O200" s="20"/>
      <c r="P200" s="1" t="s">
        <v>1878</v>
      </c>
      <c r="Q200" s="1" t="s">
        <v>1835</v>
      </c>
      <c r="R200" s="1" t="s">
        <v>1821</v>
      </c>
      <c r="S200" s="1" t="s">
        <v>1823</v>
      </c>
      <c r="T200" s="1" t="s">
        <v>1834</v>
      </c>
      <c r="U200" s="1" t="s">
        <v>1831</v>
      </c>
      <c r="V200" s="1" t="s">
        <v>1839</v>
      </c>
      <c r="X200" s="1" t="s">
        <v>1859</v>
      </c>
      <c r="AA200">
        <v>4.5999999999999996</v>
      </c>
      <c r="AB200" t="s">
        <v>1833</v>
      </c>
    </row>
    <row r="201" spans="1:28" x14ac:dyDescent="0.2">
      <c r="A201" s="1" t="s">
        <v>856</v>
      </c>
      <c r="B201" s="1" t="s">
        <v>857</v>
      </c>
      <c r="C201" s="1" t="s">
        <v>48</v>
      </c>
      <c r="D201" s="1" t="s">
        <v>49</v>
      </c>
      <c r="E201" s="1" t="s">
        <v>858</v>
      </c>
      <c r="F201" s="2" t="s">
        <v>859</v>
      </c>
      <c r="G201" s="234" t="s">
        <v>1013</v>
      </c>
      <c r="H201" s="25" t="s">
        <v>2083</v>
      </c>
      <c r="I201" s="26">
        <v>340</v>
      </c>
      <c r="J201" s="27" t="s">
        <v>2103</v>
      </c>
      <c r="K201" s="33">
        <v>0.48199999999999998</v>
      </c>
      <c r="L201" s="20" t="str">
        <f>VLOOKUP(I201,'HSL categorization'!$A$2:$B$49,2,1)</f>
        <v>Raspberry</v>
      </c>
      <c r="M201" s="20"/>
      <c r="N201" s="20" t="str">
        <f>VLOOKUP(VALUE(K201),'HSL categorization'!D:E,2,TRUE)</f>
        <v>Medium</v>
      </c>
      <c r="O201" s="20"/>
      <c r="P201" s="1" t="s">
        <v>1878</v>
      </c>
      <c r="Q201" s="1" t="s">
        <v>1835</v>
      </c>
      <c r="R201" s="1" t="s">
        <v>1821</v>
      </c>
      <c r="S201" s="1" t="s">
        <v>1823</v>
      </c>
      <c r="T201" s="1" t="s">
        <v>1834</v>
      </c>
      <c r="U201" s="1" t="s">
        <v>1831</v>
      </c>
      <c r="V201" s="1" t="s">
        <v>1839</v>
      </c>
      <c r="X201" s="1" t="s">
        <v>1859</v>
      </c>
      <c r="AA201">
        <v>4.5999999999999996</v>
      </c>
      <c r="AB201" t="s">
        <v>1833</v>
      </c>
    </row>
    <row r="202" spans="1:28" x14ac:dyDescent="0.2">
      <c r="A202" s="1" t="s">
        <v>860</v>
      </c>
      <c r="B202" s="1" t="s">
        <v>861</v>
      </c>
      <c r="C202" s="1" t="s">
        <v>48</v>
      </c>
      <c r="D202" s="1" t="s">
        <v>49</v>
      </c>
      <c r="E202" s="1" t="s">
        <v>862</v>
      </c>
      <c r="F202" s="2" t="s">
        <v>863</v>
      </c>
      <c r="G202" s="235" t="s">
        <v>1014</v>
      </c>
      <c r="H202" s="25" t="s">
        <v>2084</v>
      </c>
      <c r="I202" s="26">
        <v>347</v>
      </c>
      <c r="J202" s="27" t="s">
        <v>2195</v>
      </c>
      <c r="K202" s="33">
        <v>0.64900000000000002</v>
      </c>
      <c r="L202" s="20" t="str">
        <f>VLOOKUP(I202,'HSL categorization'!$A$2:$B$49,2,1)</f>
        <v>Crimson</v>
      </c>
      <c r="M202" s="20"/>
      <c r="N202" s="20" t="str">
        <f>VLOOKUP(VALUE(K202),'HSL categorization'!D:E,2,TRUE)</f>
        <v>Medium</v>
      </c>
      <c r="O202" s="20"/>
      <c r="P202" s="1" t="s">
        <v>1878</v>
      </c>
      <c r="Q202" s="1" t="s">
        <v>1835</v>
      </c>
      <c r="R202" s="1" t="s">
        <v>1821</v>
      </c>
      <c r="S202" s="1" t="s">
        <v>1823</v>
      </c>
      <c r="T202" s="1" t="s">
        <v>1834</v>
      </c>
      <c r="U202" s="1" t="s">
        <v>1831</v>
      </c>
      <c r="V202" s="1" t="s">
        <v>1839</v>
      </c>
      <c r="X202" s="1" t="s">
        <v>1859</v>
      </c>
      <c r="AA202">
        <v>4.5999999999999996</v>
      </c>
      <c r="AB202" t="s">
        <v>1833</v>
      </c>
    </row>
    <row r="203" spans="1:28" x14ac:dyDescent="0.2">
      <c r="A203" s="1" t="s">
        <v>864</v>
      </c>
      <c r="B203" s="1" t="s">
        <v>865</v>
      </c>
      <c r="C203" s="1" t="s">
        <v>48</v>
      </c>
      <c r="D203" s="1" t="s">
        <v>49</v>
      </c>
      <c r="E203" s="1" t="s">
        <v>866</v>
      </c>
      <c r="F203" s="2" t="s">
        <v>867</v>
      </c>
      <c r="G203" s="236" t="s">
        <v>1015</v>
      </c>
      <c r="H203" s="25" t="s">
        <v>2085</v>
      </c>
      <c r="I203" s="26">
        <v>336</v>
      </c>
      <c r="J203" s="27" t="s">
        <v>2221</v>
      </c>
      <c r="K203" s="33">
        <v>0.73699999999999999</v>
      </c>
      <c r="L203" s="20" t="str">
        <f>VLOOKUP(I203,'HSL categorization'!$A$2:$B$49,2,1)</f>
        <v>Rose</v>
      </c>
      <c r="M203" s="20"/>
      <c r="N203" s="20" t="str">
        <f>VLOOKUP(VALUE(K203),'HSL categorization'!D:E,2,TRUE)</f>
        <v>Light</v>
      </c>
      <c r="O203" s="20"/>
      <c r="P203" s="1" t="s">
        <v>1878</v>
      </c>
      <c r="Q203" s="1" t="s">
        <v>1835</v>
      </c>
      <c r="R203" s="1" t="s">
        <v>1821</v>
      </c>
      <c r="S203" s="1" t="s">
        <v>1823</v>
      </c>
      <c r="T203" s="1" t="s">
        <v>1834</v>
      </c>
      <c r="U203" s="1" t="s">
        <v>1831</v>
      </c>
      <c r="V203" s="1" t="s">
        <v>1839</v>
      </c>
      <c r="X203" s="1" t="s">
        <v>1859</v>
      </c>
      <c r="AA203">
        <v>4.5999999999999996</v>
      </c>
      <c r="AB203" t="s">
        <v>1833</v>
      </c>
    </row>
    <row r="204" spans="1:28" x14ac:dyDescent="0.2">
      <c r="A204" s="1" t="s">
        <v>868</v>
      </c>
      <c r="B204" s="1" t="s">
        <v>869</v>
      </c>
      <c r="C204" s="1" t="s">
        <v>48</v>
      </c>
      <c r="D204" s="1" t="s">
        <v>49</v>
      </c>
      <c r="E204" s="1" t="s">
        <v>870</v>
      </c>
      <c r="F204" s="13" t="s">
        <v>871</v>
      </c>
      <c r="G204" s="237" t="s">
        <v>1016</v>
      </c>
      <c r="H204" s="25" t="s">
        <v>2086</v>
      </c>
      <c r="I204" s="26">
        <v>0</v>
      </c>
      <c r="J204" s="27" t="s">
        <v>2103</v>
      </c>
      <c r="K204" s="33">
        <v>0.78200000000000003</v>
      </c>
      <c r="L204" s="20" t="str">
        <f>VLOOKUP(I204,'HSL categorization'!$A$2:$B$49,2,1)</f>
        <v>Red</v>
      </c>
      <c r="M204" s="20"/>
      <c r="N204" s="20" t="str">
        <f>VLOOKUP(VALUE(K204),'HSL categorization'!D:E,2,TRUE)</f>
        <v>Light</v>
      </c>
      <c r="O204" s="20"/>
      <c r="P204" s="1" t="s">
        <v>1878</v>
      </c>
      <c r="Q204" s="1" t="s">
        <v>1835</v>
      </c>
      <c r="R204" s="1" t="s">
        <v>1821</v>
      </c>
      <c r="S204" s="1" t="s">
        <v>1823</v>
      </c>
      <c r="T204" s="1" t="s">
        <v>1834</v>
      </c>
      <c r="U204" s="1" t="s">
        <v>1831</v>
      </c>
      <c r="V204" s="1" t="s">
        <v>1839</v>
      </c>
      <c r="X204" s="1" t="s">
        <v>1859</v>
      </c>
      <c r="AA204">
        <v>4.5999999999999996</v>
      </c>
      <c r="AB204" t="s">
        <v>1833</v>
      </c>
    </row>
    <row r="205" spans="1:28" x14ac:dyDescent="0.2">
      <c r="A205"/>
      <c r="B205"/>
      <c r="C205"/>
      <c r="D205"/>
      <c r="E205"/>
      <c r="F205"/>
    </row>
    <row r="206" spans="1:28" x14ac:dyDescent="0.2">
      <c r="A206"/>
      <c r="B206"/>
      <c r="C206"/>
      <c r="D206"/>
      <c r="E206"/>
      <c r="F206"/>
    </row>
    <row r="207" spans="1:28" x14ac:dyDescent="0.2">
      <c r="A207"/>
      <c r="B207"/>
      <c r="C207"/>
      <c r="D207"/>
      <c r="E207"/>
      <c r="F207"/>
    </row>
    <row r="208" spans="1:28" x14ac:dyDescent="0.2">
      <c r="A208"/>
      <c r="B208"/>
      <c r="C208"/>
      <c r="D208"/>
      <c r="E208"/>
      <c r="F208"/>
    </row>
    <row r="209" spans="1:6" x14ac:dyDescent="0.2">
      <c r="A209"/>
      <c r="B209"/>
      <c r="C209"/>
      <c r="D209"/>
      <c r="E209"/>
      <c r="F209"/>
    </row>
    <row r="210" spans="1:6" x14ac:dyDescent="0.2">
      <c r="A210"/>
      <c r="B210"/>
      <c r="C210"/>
      <c r="D210"/>
      <c r="E210"/>
      <c r="F210"/>
    </row>
    <row r="211" spans="1:6" x14ac:dyDescent="0.2">
      <c r="A211"/>
      <c r="B211"/>
      <c r="C211"/>
      <c r="D211"/>
      <c r="E211"/>
      <c r="F211"/>
    </row>
    <row r="212" spans="1:6" x14ac:dyDescent="0.2">
      <c r="A212"/>
      <c r="B212"/>
      <c r="C212"/>
      <c r="D212"/>
      <c r="E212"/>
      <c r="F212"/>
    </row>
    <row r="213" spans="1:6" x14ac:dyDescent="0.2">
      <c r="A213"/>
      <c r="B213"/>
      <c r="C213"/>
      <c r="D213"/>
      <c r="E213"/>
      <c r="F213"/>
    </row>
    <row r="214" spans="1:6" x14ac:dyDescent="0.2">
      <c r="A214"/>
      <c r="B214"/>
      <c r="C214"/>
      <c r="D214"/>
      <c r="E214"/>
      <c r="F214"/>
    </row>
    <row r="215" spans="1:6" x14ac:dyDescent="0.2">
      <c r="A215"/>
      <c r="B215"/>
      <c r="C215"/>
      <c r="D215"/>
      <c r="E215"/>
      <c r="F215"/>
    </row>
    <row r="216" spans="1:6" x14ac:dyDescent="0.2">
      <c r="A216"/>
      <c r="B216"/>
      <c r="C216"/>
      <c r="D216"/>
      <c r="E216"/>
      <c r="F216"/>
    </row>
    <row r="217" spans="1:6" x14ac:dyDescent="0.2">
      <c r="A217"/>
      <c r="B217"/>
      <c r="C217"/>
      <c r="D217"/>
      <c r="E217"/>
      <c r="F217"/>
    </row>
    <row r="218" spans="1:6" x14ac:dyDescent="0.2">
      <c r="A218"/>
      <c r="B218"/>
      <c r="C218"/>
      <c r="D218"/>
      <c r="E218"/>
      <c r="F218"/>
    </row>
    <row r="219" spans="1:6" x14ac:dyDescent="0.2">
      <c r="A219"/>
      <c r="B219"/>
      <c r="C219"/>
      <c r="D219"/>
      <c r="E219"/>
      <c r="F219"/>
    </row>
    <row r="220" spans="1:6" x14ac:dyDescent="0.2">
      <c r="A220"/>
      <c r="B220"/>
      <c r="C220"/>
      <c r="D220"/>
      <c r="E220"/>
      <c r="F220"/>
    </row>
    <row r="221" spans="1:6" x14ac:dyDescent="0.2">
      <c r="A221"/>
      <c r="B221"/>
      <c r="C221"/>
      <c r="D221"/>
      <c r="E221"/>
      <c r="F221"/>
    </row>
    <row r="222" spans="1:6" x14ac:dyDescent="0.2">
      <c r="A222"/>
      <c r="B222"/>
      <c r="C222"/>
      <c r="D222"/>
      <c r="E222"/>
      <c r="F222"/>
    </row>
    <row r="223" spans="1:6" x14ac:dyDescent="0.2">
      <c r="A223"/>
      <c r="B223"/>
      <c r="C223"/>
      <c r="D223"/>
      <c r="E223"/>
      <c r="F223"/>
    </row>
    <row r="224" spans="1:6" x14ac:dyDescent="0.2">
      <c r="A224"/>
      <c r="B224"/>
      <c r="C224"/>
      <c r="D224"/>
      <c r="E224"/>
      <c r="F224"/>
    </row>
    <row r="225" spans="1:6" x14ac:dyDescent="0.2">
      <c r="A225"/>
      <c r="B225"/>
      <c r="C225"/>
      <c r="D225"/>
      <c r="E225"/>
      <c r="F225"/>
    </row>
    <row r="226" spans="1:6" x14ac:dyDescent="0.2">
      <c r="A226"/>
      <c r="B226"/>
      <c r="C226"/>
      <c r="D226"/>
      <c r="E226"/>
      <c r="F226"/>
    </row>
    <row r="227" spans="1:6" x14ac:dyDescent="0.2">
      <c r="A227"/>
      <c r="B227"/>
      <c r="C227"/>
      <c r="D227"/>
      <c r="E227"/>
      <c r="F227"/>
    </row>
    <row r="228" spans="1:6" x14ac:dyDescent="0.2">
      <c r="A228"/>
      <c r="B228"/>
      <c r="C228"/>
      <c r="D228"/>
      <c r="E228"/>
      <c r="F228"/>
    </row>
    <row r="229" spans="1:6" x14ac:dyDescent="0.2">
      <c r="A229"/>
      <c r="B229"/>
      <c r="C229"/>
      <c r="D229"/>
      <c r="E229"/>
      <c r="F229"/>
    </row>
    <row r="230" spans="1:6" x14ac:dyDescent="0.2">
      <c r="A230"/>
      <c r="B230"/>
      <c r="C230"/>
      <c r="D230"/>
      <c r="E230"/>
      <c r="F230"/>
    </row>
    <row r="231" spans="1:6" x14ac:dyDescent="0.2">
      <c r="A231"/>
      <c r="B231"/>
      <c r="C231"/>
      <c r="D231"/>
      <c r="E231"/>
      <c r="F231"/>
    </row>
    <row r="232" spans="1:6" x14ac:dyDescent="0.2">
      <c r="A232"/>
      <c r="B232"/>
      <c r="C232"/>
      <c r="D232"/>
      <c r="E232"/>
      <c r="F232"/>
    </row>
    <row r="233" spans="1:6" x14ac:dyDescent="0.2">
      <c r="A233"/>
      <c r="B233"/>
      <c r="C233"/>
      <c r="D233"/>
      <c r="E233"/>
      <c r="F233"/>
    </row>
    <row r="234" spans="1:6" x14ac:dyDescent="0.2">
      <c r="A234"/>
      <c r="B234"/>
      <c r="C234"/>
      <c r="D234"/>
      <c r="E234"/>
      <c r="F234"/>
    </row>
    <row r="235" spans="1:6" x14ac:dyDescent="0.2">
      <c r="A235"/>
      <c r="B235"/>
      <c r="C235"/>
      <c r="D235"/>
      <c r="E235"/>
      <c r="F235"/>
    </row>
    <row r="236" spans="1:6" x14ac:dyDescent="0.2">
      <c r="A236"/>
      <c r="B236"/>
      <c r="C236"/>
      <c r="D236"/>
      <c r="E236"/>
      <c r="F236"/>
    </row>
    <row r="237" spans="1:6" x14ac:dyDescent="0.2">
      <c r="A237"/>
      <c r="B237"/>
      <c r="C237"/>
      <c r="D237"/>
      <c r="E237"/>
      <c r="F237"/>
    </row>
    <row r="238" spans="1:6" x14ac:dyDescent="0.2">
      <c r="A238"/>
      <c r="B238"/>
      <c r="C238"/>
      <c r="D238"/>
      <c r="E238"/>
      <c r="F238"/>
    </row>
    <row r="239" spans="1:6" x14ac:dyDescent="0.2">
      <c r="A239"/>
      <c r="B239"/>
      <c r="C239"/>
      <c r="D239"/>
      <c r="E239"/>
      <c r="F239"/>
    </row>
    <row r="240" spans="1:6" x14ac:dyDescent="0.2">
      <c r="A240"/>
      <c r="B240"/>
      <c r="C240"/>
      <c r="D240"/>
      <c r="E240"/>
      <c r="F240"/>
    </row>
    <row r="241" spans="1:6" x14ac:dyDescent="0.2">
      <c r="A241"/>
      <c r="B241"/>
      <c r="C241"/>
      <c r="D241"/>
      <c r="E241"/>
      <c r="F241"/>
    </row>
    <row r="242" spans="1:6" x14ac:dyDescent="0.2">
      <c r="A242"/>
      <c r="B242"/>
      <c r="C242"/>
      <c r="D242"/>
      <c r="E242"/>
      <c r="F242"/>
    </row>
    <row r="243" spans="1:6" x14ac:dyDescent="0.2">
      <c r="A243"/>
      <c r="B243"/>
      <c r="C243"/>
      <c r="D243"/>
      <c r="E243"/>
      <c r="F243"/>
    </row>
    <row r="244" spans="1:6" x14ac:dyDescent="0.2">
      <c r="A244"/>
      <c r="B244"/>
      <c r="C244"/>
      <c r="D244"/>
      <c r="E244"/>
      <c r="F244"/>
    </row>
    <row r="245" spans="1:6" x14ac:dyDescent="0.2">
      <c r="A245"/>
      <c r="B245"/>
      <c r="C245"/>
      <c r="D245"/>
      <c r="E245"/>
      <c r="F245"/>
    </row>
    <row r="246" spans="1:6" x14ac:dyDescent="0.2">
      <c r="A246"/>
      <c r="B246"/>
      <c r="C246"/>
      <c r="D246"/>
      <c r="E246"/>
      <c r="F246"/>
    </row>
    <row r="247" spans="1:6" x14ac:dyDescent="0.2">
      <c r="A247"/>
      <c r="B247"/>
      <c r="C247"/>
      <c r="D247"/>
      <c r="E247"/>
      <c r="F247"/>
    </row>
    <row r="248" spans="1:6" x14ac:dyDescent="0.2">
      <c r="A248"/>
      <c r="B248"/>
      <c r="C248"/>
      <c r="D248"/>
      <c r="E248"/>
      <c r="F248"/>
    </row>
    <row r="249" spans="1:6" x14ac:dyDescent="0.2">
      <c r="A249"/>
      <c r="B249"/>
      <c r="C249"/>
      <c r="D249"/>
      <c r="E249"/>
      <c r="F249"/>
    </row>
    <row r="250" spans="1:6" x14ac:dyDescent="0.2">
      <c r="A250"/>
      <c r="B250"/>
      <c r="C250"/>
      <c r="D250"/>
      <c r="E250"/>
      <c r="F250"/>
    </row>
    <row r="251" spans="1:6" x14ac:dyDescent="0.2">
      <c r="A251"/>
      <c r="B251"/>
      <c r="C251"/>
      <c r="D251"/>
      <c r="E251"/>
      <c r="F251"/>
    </row>
    <row r="252" spans="1:6" x14ac:dyDescent="0.2">
      <c r="A252"/>
      <c r="B252"/>
      <c r="C252"/>
      <c r="D252"/>
      <c r="E252"/>
      <c r="F252"/>
    </row>
    <row r="253" spans="1:6" x14ac:dyDescent="0.2">
      <c r="A253"/>
      <c r="B253"/>
      <c r="C253"/>
      <c r="D253"/>
      <c r="E253"/>
      <c r="F253"/>
    </row>
    <row r="254" spans="1:6" x14ac:dyDescent="0.2">
      <c r="A254"/>
      <c r="B254"/>
      <c r="C254"/>
      <c r="D254"/>
      <c r="E254"/>
      <c r="F254"/>
    </row>
    <row r="255" spans="1:6" x14ac:dyDescent="0.2">
      <c r="A255"/>
      <c r="B255"/>
      <c r="C255"/>
      <c r="D255"/>
      <c r="E255"/>
      <c r="F255"/>
    </row>
    <row r="256" spans="1:6" x14ac:dyDescent="0.2">
      <c r="A256"/>
      <c r="B256"/>
      <c r="C256"/>
      <c r="D256"/>
      <c r="E256"/>
      <c r="F256"/>
    </row>
    <row r="257" spans="1:6" x14ac:dyDescent="0.2">
      <c r="A257"/>
      <c r="B257"/>
      <c r="C257"/>
      <c r="D257"/>
      <c r="E257"/>
      <c r="F257"/>
    </row>
    <row r="258" spans="1:6" x14ac:dyDescent="0.2">
      <c r="A258"/>
      <c r="B258"/>
      <c r="C258"/>
      <c r="D258"/>
      <c r="E258"/>
      <c r="F258"/>
    </row>
    <row r="259" spans="1:6" x14ac:dyDescent="0.2">
      <c r="A259"/>
      <c r="B259"/>
      <c r="C259"/>
      <c r="D259"/>
      <c r="E259"/>
      <c r="F259"/>
    </row>
    <row r="260" spans="1:6" x14ac:dyDescent="0.2">
      <c r="A260"/>
      <c r="B260"/>
      <c r="C260"/>
      <c r="D260"/>
      <c r="E260"/>
      <c r="F260"/>
    </row>
    <row r="261" spans="1:6" x14ac:dyDescent="0.2">
      <c r="A261"/>
      <c r="B261"/>
      <c r="C261"/>
      <c r="D261"/>
      <c r="E261"/>
      <c r="F261"/>
    </row>
    <row r="262" spans="1:6" x14ac:dyDescent="0.2">
      <c r="A262"/>
      <c r="B262"/>
      <c r="C262"/>
      <c r="D262"/>
      <c r="E262"/>
      <c r="F262"/>
    </row>
    <row r="263" spans="1:6" x14ac:dyDescent="0.2">
      <c r="A263"/>
      <c r="B263"/>
      <c r="C263"/>
      <c r="D263"/>
      <c r="E263"/>
      <c r="F263"/>
    </row>
    <row r="264" spans="1:6" x14ac:dyDescent="0.2">
      <c r="A264"/>
      <c r="B264"/>
      <c r="C264"/>
      <c r="D264"/>
      <c r="E264"/>
      <c r="F264"/>
    </row>
    <row r="265" spans="1:6" x14ac:dyDescent="0.2">
      <c r="A265"/>
      <c r="B265"/>
      <c r="C265"/>
      <c r="D265"/>
      <c r="E265"/>
      <c r="F265"/>
    </row>
    <row r="266" spans="1:6" x14ac:dyDescent="0.2">
      <c r="A266"/>
      <c r="B266"/>
      <c r="C266"/>
      <c r="D266"/>
      <c r="E266"/>
      <c r="F266"/>
    </row>
    <row r="267" spans="1:6" x14ac:dyDescent="0.2">
      <c r="A267"/>
      <c r="B267"/>
      <c r="C267"/>
      <c r="D267"/>
      <c r="E267"/>
      <c r="F267"/>
    </row>
    <row r="268" spans="1:6" x14ac:dyDescent="0.2">
      <c r="A268"/>
      <c r="B268"/>
      <c r="C268"/>
      <c r="D268"/>
      <c r="E268"/>
      <c r="F268"/>
    </row>
    <row r="269" spans="1:6" x14ac:dyDescent="0.2">
      <c r="A269"/>
      <c r="B269"/>
      <c r="C269"/>
      <c r="D269"/>
      <c r="E269"/>
      <c r="F269"/>
    </row>
    <row r="270" spans="1:6" x14ac:dyDescent="0.2">
      <c r="A270"/>
      <c r="B270"/>
      <c r="C270"/>
      <c r="D270"/>
      <c r="E270"/>
      <c r="F270"/>
    </row>
    <row r="271" spans="1:6" x14ac:dyDescent="0.2">
      <c r="A271"/>
      <c r="B271"/>
      <c r="C271"/>
      <c r="D271"/>
      <c r="E271"/>
      <c r="F271"/>
    </row>
    <row r="272" spans="1:6" x14ac:dyDescent="0.2">
      <c r="A272"/>
      <c r="B272"/>
      <c r="C272"/>
      <c r="D272"/>
      <c r="E272"/>
      <c r="F272"/>
    </row>
    <row r="273" spans="1:6" x14ac:dyDescent="0.2">
      <c r="A273"/>
      <c r="B273"/>
      <c r="C273"/>
      <c r="D273"/>
      <c r="E273"/>
      <c r="F273"/>
    </row>
    <row r="274" spans="1:6" x14ac:dyDescent="0.2">
      <c r="A274"/>
      <c r="B274"/>
      <c r="C274"/>
      <c r="D274"/>
      <c r="E274"/>
      <c r="F274"/>
    </row>
    <row r="275" spans="1:6" x14ac:dyDescent="0.2">
      <c r="A275"/>
      <c r="B275"/>
      <c r="C275"/>
      <c r="D275"/>
      <c r="E275"/>
      <c r="F275"/>
    </row>
    <row r="276" spans="1:6" x14ac:dyDescent="0.2">
      <c r="A276"/>
      <c r="B276"/>
      <c r="C276"/>
      <c r="D276"/>
      <c r="E276"/>
      <c r="F276"/>
    </row>
    <row r="277" spans="1:6" x14ac:dyDescent="0.2">
      <c r="A277"/>
      <c r="B277"/>
      <c r="C277"/>
      <c r="D277"/>
      <c r="E277"/>
      <c r="F277"/>
    </row>
    <row r="278" spans="1:6" x14ac:dyDescent="0.2">
      <c r="A278"/>
      <c r="B278"/>
      <c r="C278"/>
      <c r="D278"/>
      <c r="E278"/>
      <c r="F278"/>
    </row>
    <row r="279" spans="1:6" x14ac:dyDescent="0.2">
      <c r="A279"/>
      <c r="B279"/>
      <c r="C279"/>
      <c r="D279"/>
      <c r="E279"/>
      <c r="F279"/>
    </row>
    <row r="280" spans="1:6" x14ac:dyDescent="0.2">
      <c r="A280"/>
      <c r="B280"/>
      <c r="C280"/>
      <c r="D280"/>
      <c r="E280"/>
      <c r="F280"/>
    </row>
    <row r="281" spans="1:6" x14ac:dyDescent="0.2">
      <c r="A281"/>
      <c r="B281"/>
      <c r="C281"/>
      <c r="D281"/>
      <c r="E281"/>
      <c r="F281"/>
    </row>
    <row r="282" spans="1:6" x14ac:dyDescent="0.2">
      <c r="A282"/>
      <c r="B282"/>
      <c r="C282"/>
      <c r="D282"/>
      <c r="E282"/>
      <c r="F282"/>
    </row>
    <row r="283" spans="1:6" x14ac:dyDescent="0.2">
      <c r="A283"/>
      <c r="B283"/>
      <c r="C283"/>
      <c r="D283"/>
      <c r="E283"/>
      <c r="F283"/>
    </row>
    <row r="284" spans="1:6" x14ac:dyDescent="0.2">
      <c r="A284"/>
      <c r="B284"/>
      <c r="C284"/>
      <c r="D284"/>
      <c r="E284"/>
      <c r="F284"/>
    </row>
    <row r="285" spans="1:6" x14ac:dyDescent="0.2">
      <c r="A285"/>
      <c r="B285"/>
      <c r="C285"/>
      <c r="D285"/>
      <c r="E285"/>
      <c r="F285"/>
    </row>
    <row r="286" spans="1:6" x14ac:dyDescent="0.2">
      <c r="A286"/>
      <c r="B286"/>
      <c r="C286"/>
      <c r="D286"/>
      <c r="E286"/>
      <c r="F286"/>
    </row>
    <row r="287" spans="1:6" x14ac:dyDescent="0.2">
      <c r="A287"/>
      <c r="B287"/>
      <c r="C287"/>
      <c r="D287"/>
      <c r="E287"/>
      <c r="F287"/>
    </row>
    <row r="288" spans="1:6" x14ac:dyDescent="0.2">
      <c r="A288"/>
      <c r="B288"/>
      <c r="C288"/>
      <c r="D288"/>
      <c r="E288"/>
      <c r="F288"/>
    </row>
    <row r="289" spans="1:6" x14ac:dyDescent="0.2">
      <c r="A289"/>
      <c r="B289"/>
      <c r="C289"/>
      <c r="D289"/>
      <c r="E289"/>
      <c r="F289"/>
    </row>
    <row r="290" spans="1:6" x14ac:dyDescent="0.2">
      <c r="A290"/>
      <c r="B290"/>
      <c r="C290"/>
      <c r="D290"/>
      <c r="E290"/>
      <c r="F290"/>
    </row>
    <row r="291" spans="1:6" x14ac:dyDescent="0.2">
      <c r="A291"/>
      <c r="B291"/>
      <c r="C291"/>
      <c r="D291"/>
      <c r="E291"/>
      <c r="F291"/>
    </row>
    <row r="292" spans="1:6" x14ac:dyDescent="0.2">
      <c r="A292"/>
      <c r="B292"/>
      <c r="C292"/>
      <c r="D292"/>
      <c r="E292"/>
      <c r="F292"/>
    </row>
    <row r="293" spans="1:6" x14ac:dyDescent="0.2">
      <c r="A293"/>
      <c r="B293"/>
      <c r="C293"/>
      <c r="D293"/>
      <c r="E293"/>
      <c r="F293"/>
    </row>
    <row r="294" spans="1:6" x14ac:dyDescent="0.2">
      <c r="A294"/>
      <c r="B294"/>
      <c r="C294"/>
      <c r="D294"/>
      <c r="E294"/>
      <c r="F294"/>
    </row>
    <row r="295" spans="1:6" x14ac:dyDescent="0.2">
      <c r="A295"/>
      <c r="B295"/>
      <c r="C295"/>
      <c r="D295"/>
      <c r="E295"/>
      <c r="F295"/>
    </row>
    <row r="296" spans="1:6" x14ac:dyDescent="0.2">
      <c r="A296"/>
      <c r="B296"/>
      <c r="C296"/>
      <c r="D296"/>
      <c r="E296"/>
      <c r="F296"/>
    </row>
    <row r="297" spans="1:6" x14ac:dyDescent="0.2">
      <c r="A297"/>
      <c r="B297"/>
      <c r="C297"/>
      <c r="D297"/>
      <c r="E297"/>
      <c r="F297"/>
    </row>
    <row r="298" spans="1:6" x14ac:dyDescent="0.2">
      <c r="A298"/>
      <c r="B298"/>
      <c r="C298"/>
      <c r="D298"/>
      <c r="E298"/>
      <c r="F298"/>
    </row>
    <row r="299" spans="1:6" x14ac:dyDescent="0.2">
      <c r="A299"/>
      <c r="B299"/>
      <c r="C299"/>
      <c r="D299"/>
      <c r="E299"/>
      <c r="F299"/>
    </row>
    <row r="300" spans="1:6" x14ac:dyDescent="0.2">
      <c r="A300"/>
      <c r="B300"/>
      <c r="C300"/>
      <c r="D300"/>
      <c r="E300"/>
      <c r="F300"/>
    </row>
    <row r="301" spans="1:6" x14ac:dyDescent="0.2">
      <c r="A301"/>
      <c r="B301"/>
      <c r="C301"/>
      <c r="D301"/>
      <c r="E301"/>
      <c r="F301"/>
    </row>
    <row r="302" spans="1:6" x14ac:dyDescent="0.2">
      <c r="A302"/>
      <c r="B302"/>
      <c r="C302"/>
      <c r="D302"/>
      <c r="E302"/>
      <c r="F302"/>
    </row>
    <row r="303" spans="1:6" x14ac:dyDescent="0.2">
      <c r="A303"/>
      <c r="B303"/>
      <c r="C303"/>
      <c r="D303"/>
      <c r="E303"/>
      <c r="F303"/>
    </row>
    <row r="304" spans="1:6" x14ac:dyDescent="0.2">
      <c r="A304"/>
      <c r="B304"/>
      <c r="C304"/>
      <c r="D304"/>
      <c r="E304"/>
      <c r="F304"/>
    </row>
    <row r="305" spans="1:6" x14ac:dyDescent="0.2">
      <c r="A305"/>
      <c r="B305"/>
      <c r="C305"/>
      <c r="D305"/>
      <c r="E305"/>
      <c r="F305"/>
    </row>
    <row r="306" spans="1:6" x14ac:dyDescent="0.2">
      <c r="A306"/>
      <c r="B306"/>
      <c r="C306"/>
      <c r="D306"/>
      <c r="E306"/>
      <c r="F306"/>
    </row>
    <row r="307" spans="1:6" x14ac:dyDescent="0.2">
      <c r="A307"/>
      <c r="B307"/>
      <c r="C307"/>
      <c r="D307"/>
      <c r="E307"/>
      <c r="F307"/>
    </row>
    <row r="308" spans="1:6" x14ac:dyDescent="0.2">
      <c r="A308"/>
      <c r="B308"/>
      <c r="C308"/>
      <c r="D308"/>
      <c r="E308"/>
      <c r="F308"/>
    </row>
    <row r="309" spans="1:6" x14ac:dyDescent="0.2">
      <c r="A309"/>
      <c r="B309"/>
      <c r="C309"/>
      <c r="D309"/>
      <c r="E309"/>
      <c r="F309"/>
    </row>
    <row r="310" spans="1:6" x14ac:dyDescent="0.2">
      <c r="A310"/>
      <c r="B310"/>
      <c r="C310"/>
      <c r="D310"/>
      <c r="E310"/>
      <c r="F310"/>
    </row>
    <row r="311" spans="1:6" x14ac:dyDescent="0.2">
      <c r="A311"/>
      <c r="B311"/>
      <c r="C311"/>
      <c r="D311"/>
      <c r="E311"/>
      <c r="F311"/>
    </row>
    <row r="312" spans="1:6" x14ac:dyDescent="0.2">
      <c r="A312"/>
      <c r="B312"/>
      <c r="C312"/>
      <c r="D312"/>
      <c r="E312"/>
      <c r="F312"/>
    </row>
    <row r="313" spans="1:6" x14ac:dyDescent="0.2">
      <c r="A313"/>
      <c r="B313"/>
      <c r="C313"/>
      <c r="D313"/>
      <c r="E313"/>
      <c r="F313"/>
    </row>
    <row r="314" spans="1:6" x14ac:dyDescent="0.2">
      <c r="A314"/>
      <c r="B314"/>
      <c r="C314"/>
      <c r="D314"/>
      <c r="E314"/>
      <c r="F314"/>
    </row>
    <row r="315" spans="1:6" x14ac:dyDescent="0.2">
      <c r="A315"/>
      <c r="B315"/>
      <c r="C315"/>
      <c r="D315"/>
      <c r="E315"/>
      <c r="F315"/>
    </row>
    <row r="316" spans="1:6" x14ac:dyDescent="0.2">
      <c r="A316"/>
      <c r="B316"/>
      <c r="C316"/>
      <c r="D316"/>
      <c r="E316"/>
      <c r="F316"/>
    </row>
    <row r="317" spans="1:6" x14ac:dyDescent="0.2">
      <c r="A317"/>
      <c r="B317"/>
      <c r="C317"/>
      <c r="D317"/>
      <c r="E317"/>
      <c r="F317"/>
    </row>
    <row r="318" spans="1:6" x14ac:dyDescent="0.2">
      <c r="A318"/>
      <c r="B318"/>
      <c r="C318"/>
      <c r="D318"/>
      <c r="E318"/>
      <c r="F318"/>
    </row>
    <row r="319" spans="1:6" x14ac:dyDescent="0.2">
      <c r="A319"/>
      <c r="B319"/>
      <c r="C319"/>
      <c r="D319"/>
      <c r="E319"/>
      <c r="F319"/>
    </row>
    <row r="320" spans="1:6" x14ac:dyDescent="0.2">
      <c r="A320"/>
      <c r="B320"/>
      <c r="C320"/>
      <c r="D320"/>
      <c r="E320"/>
      <c r="F320"/>
    </row>
    <row r="321" spans="1:6" x14ac:dyDescent="0.2">
      <c r="A321"/>
      <c r="B321"/>
      <c r="C321"/>
      <c r="D321"/>
      <c r="E321"/>
      <c r="F321"/>
    </row>
    <row r="322" spans="1:6" x14ac:dyDescent="0.2">
      <c r="A322"/>
      <c r="B322"/>
      <c r="C322"/>
      <c r="D322"/>
      <c r="E322"/>
      <c r="F322"/>
    </row>
    <row r="323" spans="1:6" x14ac:dyDescent="0.2">
      <c r="A323"/>
      <c r="B323"/>
      <c r="C323"/>
      <c r="D323"/>
      <c r="E323"/>
      <c r="F323"/>
    </row>
    <row r="324" spans="1:6" x14ac:dyDescent="0.2">
      <c r="A324"/>
      <c r="B324"/>
      <c r="C324"/>
      <c r="D324"/>
      <c r="E324"/>
      <c r="F324"/>
    </row>
    <row r="325" spans="1:6" x14ac:dyDescent="0.2">
      <c r="A325"/>
      <c r="B325"/>
      <c r="C325"/>
      <c r="D325"/>
      <c r="E325"/>
      <c r="F325"/>
    </row>
    <row r="326" spans="1:6" x14ac:dyDescent="0.2">
      <c r="A326"/>
      <c r="B326"/>
      <c r="C326"/>
      <c r="D326"/>
      <c r="E326"/>
      <c r="F326"/>
    </row>
    <row r="327" spans="1:6" x14ac:dyDescent="0.2">
      <c r="A327"/>
      <c r="B327"/>
      <c r="C327"/>
      <c r="D327"/>
      <c r="E327"/>
      <c r="F327"/>
    </row>
    <row r="328" spans="1:6" x14ac:dyDescent="0.2">
      <c r="A328"/>
      <c r="B328"/>
      <c r="C328"/>
      <c r="D328"/>
      <c r="E328"/>
      <c r="F328"/>
    </row>
    <row r="329" spans="1:6" x14ac:dyDescent="0.2">
      <c r="A329"/>
      <c r="B329"/>
      <c r="C329"/>
      <c r="D329"/>
      <c r="E329"/>
      <c r="F329"/>
    </row>
    <row r="330" spans="1:6" x14ac:dyDescent="0.2">
      <c r="A330"/>
      <c r="B330"/>
      <c r="C330"/>
      <c r="D330"/>
      <c r="E330"/>
      <c r="F330"/>
    </row>
    <row r="331" spans="1:6" x14ac:dyDescent="0.2">
      <c r="A331"/>
      <c r="B331"/>
      <c r="C331"/>
      <c r="D331"/>
      <c r="E331"/>
      <c r="F331"/>
    </row>
    <row r="332" spans="1:6" x14ac:dyDescent="0.2">
      <c r="A332"/>
      <c r="B332"/>
      <c r="C332"/>
      <c r="D332"/>
      <c r="E332"/>
      <c r="F332"/>
    </row>
    <row r="333" spans="1:6" x14ac:dyDescent="0.2">
      <c r="A333"/>
      <c r="B333"/>
      <c r="C333"/>
      <c r="D333"/>
      <c r="E333"/>
      <c r="F333"/>
    </row>
    <row r="334" spans="1:6" x14ac:dyDescent="0.2">
      <c r="A334"/>
      <c r="B334"/>
      <c r="C334"/>
      <c r="D334"/>
      <c r="E334"/>
      <c r="F334"/>
    </row>
    <row r="335" spans="1:6" x14ac:dyDescent="0.2">
      <c r="A335"/>
      <c r="B335"/>
      <c r="C335"/>
      <c r="D335"/>
      <c r="E335"/>
      <c r="F335"/>
    </row>
    <row r="336" spans="1:6" x14ac:dyDescent="0.2">
      <c r="A336"/>
      <c r="B336"/>
      <c r="C336"/>
      <c r="D336"/>
      <c r="E336"/>
      <c r="F336"/>
    </row>
    <row r="337" spans="1:6" x14ac:dyDescent="0.2">
      <c r="A337"/>
      <c r="B337"/>
      <c r="C337"/>
      <c r="D337"/>
      <c r="E337"/>
      <c r="F337"/>
    </row>
    <row r="338" spans="1:6" x14ac:dyDescent="0.2">
      <c r="A338"/>
      <c r="B338"/>
      <c r="C338"/>
      <c r="D338"/>
      <c r="E338"/>
      <c r="F338"/>
    </row>
    <row r="339" spans="1:6" x14ac:dyDescent="0.2">
      <c r="A339"/>
      <c r="B339"/>
      <c r="C339"/>
      <c r="D339"/>
      <c r="E339"/>
      <c r="F339"/>
    </row>
    <row r="340" spans="1:6" x14ac:dyDescent="0.2">
      <c r="A340"/>
      <c r="B340"/>
      <c r="C340"/>
      <c r="D340"/>
      <c r="E340"/>
      <c r="F340"/>
    </row>
    <row r="341" spans="1:6" x14ac:dyDescent="0.2">
      <c r="A341"/>
      <c r="B341"/>
      <c r="C341"/>
      <c r="D341"/>
      <c r="E341"/>
      <c r="F341"/>
    </row>
    <row r="342" spans="1:6" x14ac:dyDescent="0.2">
      <c r="A342"/>
      <c r="B342"/>
      <c r="C342"/>
      <c r="D342"/>
      <c r="E342"/>
      <c r="F342"/>
    </row>
    <row r="343" spans="1:6" x14ac:dyDescent="0.2">
      <c r="A343"/>
      <c r="B343"/>
      <c r="C343"/>
      <c r="D343"/>
      <c r="E343"/>
      <c r="F343"/>
    </row>
    <row r="344" spans="1:6" x14ac:dyDescent="0.2">
      <c r="A344"/>
      <c r="B344"/>
      <c r="C344"/>
      <c r="D344"/>
      <c r="E344"/>
      <c r="F344"/>
    </row>
    <row r="345" spans="1:6" x14ac:dyDescent="0.2">
      <c r="A345"/>
      <c r="B345"/>
      <c r="C345"/>
      <c r="D345"/>
      <c r="E345"/>
      <c r="F345"/>
    </row>
    <row r="346" spans="1:6" x14ac:dyDescent="0.2">
      <c r="A346"/>
      <c r="B346"/>
      <c r="C346"/>
      <c r="D346"/>
      <c r="E346"/>
      <c r="F346"/>
    </row>
    <row r="347" spans="1:6" x14ac:dyDescent="0.2">
      <c r="A347"/>
      <c r="B347"/>
      <c r="C347"/>
      <c r="D347"/>
      <c r="E347"/>
      <c r="F347"/>
    </row>
    <row r="348" spans="1:6" x14ac:dyDescent="0.2">
      <c r="A348"/>
      <c r="B348"/>
      <c r="C348"/>
      <c r="D348"/>
      <c r="E348"/>
      <c r="F348"/>
    </row>
    <row r="349" spans="1:6" x14ac:dyDescent="0.2">
      <c r="A349"/>
      <c r="B349"/>
      <c r="C349"/>
      <c r="D349"/>
      <c r="E349"/>
      <c r="F349"/>
    </row>
    <row r="350" spans="1:6" x14ac:dyDescent="0.2">
      <c r="A350"/>
      <c r="B350"/>
      <c r="C350"/>
      <c r="D350"/>
      <c r="E350"/>
      <c r="F350"/>
    </row>
    <row r="351" spans="1:6" x14ac:dyDescent="0.2">
      <c r="A351"/>
      <c r="B351"/>
      <c r="C351"/>
      <c r="D351"/>
      <c r="E351"/>
      <c r="F351"/>
    </row>
    <row r="352" spans="1:6" x14ac:dyDescent="0.2">
      <c r="A352"/>
      <c r="B352"/>
      <c r="C352"/>
      <c r="D352"/>
      <c r="E352"/>
      <c r="F352"/>
    </row>
    <row r="353" spans="1:6" x14ac:dyDescent="0.2">
      <c r="A353"/>
      <c r="B353"/>
      <c r="C353"/>
      <c r="D353"/>
      <c r="E353"/>
      <c r="F353"/>
    </row>
    <row r="354" spans="1:6" x14ac:dyDescent="0.2">
      <c r="A354"/>
      <c r="B354"/>
      <c r="C354"/>
      <c r="D354"/>
      <c r="E354"/>
      <c r="F354"/>
    </row>
    <row r="355" spans="1:6" x14ac:dyDescent="0.2">
      <c r="A355"/>
      <c r="B355"/>
      <c r="C355"/>
      <c r="D355"/>
      <c r="E355"/>
      <c r="F355"/>
    </row>
    <row r="356" spans="1:6" x14ac:dyDescent="0.2">
      <c r="A356"/>
      <c r="B356"/>
      <c r="C356"/>
      <c r="D356"/>
      <c r="E356"/>
      <c r="F356"/>
    </row>
    <row r="357" spans="1:6" x14ac:dyDescent="0.2">
      <c r="A357"/>
      <c r="B357"/>
      <c r="C357"/>
      <c r="D357"/>
      <c r="E357"/>
      <c r="F357"/>
    </row>
    <row r="358" spans="1:6" x14ac:dyDescent="0.2">
      <c r="A358"/>
      <c r="B358"/>
      <c r="C358"/>
      <c r="D358"/>
      <c r="E358"/>
      <c r="F358"/>
    </row>
    <row r="359" spans="1:6" x14ac:dyDescent="0.2">
      <c r="A359"/>
      <c r="B359"/>
      <c r="C359"/>
      <c r="D359"/>
      <c r="E359"/>
      <c r="F359"/>
    </row>
    <row r="360" spans="1:6" x14ac:dyDescent="0.2">
      <c r="A360"/>
      <c r="B360"/>
      <c r="C360"/>
      <c r="D360"/>
      <c r="E360"/>
      <c r="F360"/>
    </row>
    <row r="361" spans="1:6" x14ac:dyDescent="0.2">
      <c r="A361"/>
      <c r="B361"/>
      <c r="C361"/>
      <c r="D361"/>
      <c r="E361"/>
      <c r="F361"/>
    </row>
    <row r="362" spans="1:6" x14ac:dyDescent="0.2">
      <c r="A362"/>
      <c r="B362"/>
      <c r="C362"/>
      <c r="D362"/>
      <c r="E362"/>
      <c r="F362"/>
    </row>
  </sheetData>
  <phoneticPr fontId="1" type="noConversion"/>
  <hyperlinks>
    <hyperlink ref="E3" r:id="rId1" xr:uid="{00000000-0004-0000-0000-000000000000}"/>
    <hyperlink ref="F2" r:id="rId2" xr:uid="{B4916264-460E-B542-A24D-1D03B36BCFE2}"/>
    <hyperlink ref="F3" r:id="rId3" xr:uid="{33D3D2DB-1937-ED4D-8A17-403A1F2C0908}"/>
    <hyperlink ref="F4" r:id="rId4" xr:uid="{1576D2C5-76EE-7749-BD10-229F432DCD82}"/>
    <hyperlink ref="F5" r:id="rId5" xr:uid="{79837305-5444-2744-894C-1F19DF5F671E}"/>
    <hyperlink ref="F6" r:id="rId6" xr:uid="{3A83897B-299A-3341-8063-1B946C43C04E}"/>
    <hyperlink ref="F7" r:id="rId7" xr:uid="{DDC52039-1C66-9242-81B7-4ACDEADC0598}"/>
    <hyperlink ref="F8" r:id="rId8" xr:uid="{CB021753-C084-1D40-AF31-303A07A12ABE}"/>
    <hyperlink ref="F9" r:id="rId9" xr:uid="{D5A0318B-D698-BE46-AEF8-4D7FF3485B03}"/>
    <hyperlink ref="F10" r:id="rId10" xr:uid="{110A51BE-D66F-1B49-9400-5BEB5969F910}"/>
    <hyperlink ref="F11" r:id="rId11" xr:uid="{ABAC9B04-2579-434F-ABD1-4EB37E90E50F}"/>
    <hyperlink ref="F12" r:id="rId12" xr:uid="{8000A088-C15C-7442-BFFB-6772DD185FF5}"/>
    <hyperlink ref="F13" r:id="rId13" xr:uid="{C4FFE59E-09DC-7F4E-B7B9-350D8B8261CC}"/>
    <hyperlink ref="F14" r:id="rId14" xr:uid="{76DBB1C5-87D7-4A48-9245-7223625750D6}"/>
    <hyperlink ref="F15" r:id="rId15" xr:uid="{AAF592F8-D91A-5A4C-BA37-4D64EE0686C7}"/>
    <hyperlink ref="F16" r:id="rId16" xr:uid="{74EC835E-B036-A140-9925-16F77699D6C2}"/>
    <hyperlink ref="F17" r:id="rId17" xr:uid="{BC24D009-0970-7949-8F10-35BB558ADDFA}"/>
    <hyperlink ref="F18" r:id="rId18" xr:uid="{F353B228-FA64-974C-8C63-5E5DE1F28782}"/>
    <hyperlink ref="F19" r:id="rId19" xr:uid="{AE2826A7-AC7E-724B-8062-4E540E9B1B3E}"/>
    <hyperlink ref="F20" r:id="rId20" xr:uid="{D9A3C9F4-7573-1947-9B46-13252EAB71B6}"/>
    <hyperlink ref="F21" r:id="rId21" xr:uid="{B12EC340-42E7-224F-A393-06BDF9B0F9F5}"/>
    <hyperlink ref="F22" r:id="rId22" xr:uid="{96227948-F966-2F45-92F2-AB76019670D0}"/>
    <hyperlink ref="F23" r:id="rId23" xr:uid="{87680482-44A0-344D-91D2-BEECBC208466}"/>
    <hyperlink ref="F24" r:id="rId24" xr:uid="{007048C2-447B-C14E-90C2-F6369CA2AEEE}"/>
    <hyperlink ref="F25" r:id="rId25" xr:uid="{0FABB7C6-599D-E44C-A776-5C885D1FB08C}"/>
    <hyperlink ref="F26" r:id="rId26" xr:uid="{B487AFC3-5484-DB41-AA97-70B434032DFC}"/>
    <hyperlink ref="F27" r:id="rId27" xr:uid="{2CA9C2A1-B15A-984A-9096-4241F2860BF5}"/>
    <hyperlink ref="F28" r:id="rId28" xr:uid="{3A3D7C23-F736-DD4A-84D5-06ABB8FD0A31}"/>
    <hyperlink ref="F29" r:id="rId29" xr:uid="{8D671322-1848-A944-A1B1-E8389F758D3A}"/>
    <hyperlink ref="F30" r:id="rId30" xr:uid="{E3B5EB36-3D54-114E-BEDC-94738DA951FD}"/>
    <hyperlink ref="F31" r:id="rId31" xr:uid="{B988BBB2-2016-EF41-A598-C39035BC558D}"/>
    <hyperlink ref="F32" r:id="rId32" xr:uid="{D6AB019C-930A-574C-A19A-7BD302F1B22A}"/>
    <hyperlink ref="F33" r:id="rId33" xr:uid="{D772EAEC-0DAE-E544-AAF7-C59AC20FE1E3}"/>
    <hyperlink ref="F34" r:id="rId34" xr:uid="{AD0A5872-5F9C-0D4F-A1F7-D5A1E7D1216A}"/>
    <hyperlink ref="F35" r:id="rId35" xr:uid="{C4EA12AC-4488-5941-8253-D0C2E5510B4D}"/>
    <hyperlink ref="F36" r:id="rId36" xr:uid="{C72CF13D-E864-724B-A826-4A70B212A68D}"/>
    <hyperlink ref="F37" r:id="rId37" xr:uid="{BAE1DD67-1B9A-E14A-AE13-F8D898D33185}"/>
    <hyperlink ref="F38" r:id="rId38" xr:uid="{3CB561C3-04F4-E043-BB0D-C7F07F0B1196}"/>
    <hyperlink ref="F39" r:id="rId39" xr:uid="{FE158593-2DE6-6E48-B90C-014DE51478A6}"/>
    <hyperlink ref="F40" r:id="rId40" xr:uid="{A65E6FF0-0C3F-504D-8BB4-71E948745E46}"/>
    <hyperlink ref="F41" r:id="rId41" xr:uid="{B4294116-28D1-3F40-A2B1-195AC5A7DAC8}"/>
    <hyperlink ref="F42" r:id="rId42" xr:uid="{0694AEF3-D9DD-F44C-BED8-8BE26FD2153C}"/>
    <hyperlink ref="F43" r:id="rId43" xr:uid="{324BF104-4022-0D4D-9957-FC0F6BF4C7AC}"/>
    <hyperlink ref="F44" r:id="rId44" xr:uid="{B2A32FF9-9724-1E4B-87DC-267E7A348D47}"/>
    <hyperlink ref="F45" r:id="rId45" xr:uid="{EEF41DA5-2912-DB46-A6A4-436C2089DD82}"/>
    <hyperlink ref="F46" r:id="rId46" xr:uid="{7B0817BC-0553-384A-8F49-002BEA5CE226}"/>
    <hyperlink ref="F47" r:id="rId47" xr:uid="{7C8859A1-2911-254A-8CF5-5EED0B872994}"/>
    <hyperlink ref="F48" r:id="rId48" xr:uid="{3B08126B-1E30-8743-9CA6-CD31335BE57D}"/>
    <hyperlink ref="F49" r:id="rId49" xr:uid="{6003C536-AD38-B143-9B43-3B159AA8358F}"/>
    <hyperlink ref="F50" r:id="rId50" xr:uid="{5B51F7D2-E147-2A42-9BAD-6198F2FE5CDB}"/>
    <hyperlink ref="F51" r:id="rId51" xr:uid="{3D3110FF-D416-5840-B9B9-8A1BA1F993F9}"/>
    <hyperlink ref="F52" r:id="rId52" xr:uid="{171DF01E-298E-4D4C-8B72-9178D7B77F14}"/>
    <hyperlink ref="F53" r:id="rId53" xr:uid="{0D81A4A2-4FB1-1B40-A247-E856D165FD64}"/>
    <hyperlink ref="F54" r:id="rId54" xr:uid="{40C6981A-F8C0-4341-A8D2-FE95F012E2E1}"/>
    <hyperlink ref="F55" r:id="rId55" xr:uid="{00781B5E-9C64-4B41-869D-27A52721B071}"/>
    <hyperlink ref="F56" r:id="rId56" xr:uid="{4FA25ED4-7087-2E41-AA0A-2DE5D824B594}"/>
    <hyperlink ref="F57" r:id="rId57" xr:uid="{C800308D-BAC7-E447-B07B-3556AF005380}"/>
    <hyperlink ref="F58" r:id="rId58" xr:uid="{98006908-01CC-F649-BE98-267B905F6E44}"/>
    <hyperlink ref="F59" r:id="rId59" xr:uid="{AEE924D0-9A82-7749-A4D1-56E9C29AB4FF}"/>
    <hyperlink ref="F60" r:id="rId60" xr:uid="{0AC39526-89E0-A248-80F6-5282E3D873B8}"/>
    <hyperlink ref="F61" r:id="rId61" xr:uid="{EAA195EB-FD03-B447-8AA1-BA6FE38FACAE}"/>
    <hyperlink ref="F62" r:id="rId62" xr:uid="{8E0001F1-A77B-E744-8E84-B4AAB1AE0819}"/>
    <hyperlink ref="F63" r:id="rId63" xr:uid="{8A0CBE31-A1C2-3548-A0F1-8B968675AFC8}"/>
    <hyperlink ref="F64" r:id="rId64" xr:uid="{B471A903-C43D-1943-BB59-AFFCAD30F6F3}"/>
    <hyperlink ref="F65" r:id="rId65" xr:uid="{4E39573D-C613-7D49-A9B6-429FD6EEF122}"/>
    <hyperlink ref="F66" r:id="rId66" xr:uid="{73AF02A7-9FEC-5B4B-A93A-7A2B14DCC8CD}"/>
    <hyperlink ref="F67" r:id="rId67" xr:uid="{93A7A7AE-8362-C242-B047-B778CD44BD93}"/>
    <hyperlink ref="F68" r:id="rId68" xr:uid="{112FF447-7555-154C-8C42-EA09B63D2423}"/>
    <hyperlink ref="F69" r:id="rId69" xr:uid="{FAF3D982-02A9-3F45-B314-DA459969F571}"/>
    <hyperlink ref="F70" r:id="rId70" xr:uid="{673C498C-D579-BD44-A36C-4C1391BCB5F4}"/>
    <hyperlink ref="F71" r:id="rId71" xr:uid="{DF9F611C-BE10-114B-9356-3D3390171142}"/>
    <hyperlink ref="F72" r:id="rId72" xr:uid="{16452AA6-B5F2-2F49-979D-EA1A1528B11C}"/>
    <hyperlink ref="F73" r:id="rId73" xr:uid="{DF2FA217-8AF2-F34B-8D8B-6A7A847D57D8}"/>
    <hyperlink ref="F74" r:id="rId74" xr:uid="{A782918C-1E88-4B43-A96E-527855211506}"/>
    <hyperlink ref="F75" r:id="rId75" xr:uid="{70B418EF-F171-BB4F-9967-5A9FC5841B4A}"/>
    <hyperlink ref="F76" r:id="rId76" xr:uid="{DF3BED35-CAB5-1C49-81F3-7D314814EC2A}"/>
    <hyperlink ref="F77" r:id="rId77" xr:uid="{80AA7364-A578-2941-B520-7D765C011B44}"/>
    <hyperlink ref="F78" r:id="rId78" xr:uid="{AE5336C1-70EE-1049-A30F-2E80F563DD56}"/>
    <hyperlink ref="F79" r:id="rId79" xr:uid="{AB9ECF3B-326E-0442-9CD3-F87CF0F4DBC6}"/>
    <hyperlink ref="F80" r:id="rId80" xr:uid="{D0C48116-C45F-8D43-9D88-2C5667A3935F}"/>
    <hyperlink ref="F81" r:id="rId81" xr:uid="{0F76C0BA-1FD9-264B-91A5-FC60CB8B6FB4}"/>
    <hyperlink ref="F82" r:id="rId82" xr:uid="{1C667C7A-DE26-DE48-96AA-08A8C86854FA}"/>
    <hyperlink ref="F83" r:id="rId83" xr:uid="{F96D0639-904A-CC40-BFFB-37E300276BEB}"/>
    <hyperlink ref="F84" r:id="rId84" xr:uid="{730931A8-6CB4-7241-B30E-809CE1F590CC}"/>
    <hyperlink ref="F85" r:id="rId85" xr:uid="{A6B7B13A-20C2-034A-8FD0-050428727580}"/>
    <hyperlink ref="F86" r:id="rId86" xr:uid="{07867CBD-C5FA-4441-B69A-FEA32ED000EC}"/>
    <hyperlink ref="F87" r:id="rId87" xr:uid="{F6938426-F6FB-C843-983E-4AF6A9ECA611}"/>
    <hyperlink ref="F88" r:id="rId88" xr:uid="{FC4DE48D-8BDC-8E45-8AAD-DF3C6BC8FEDC}"/>
    <hyperlink ref="F89" r:id="rId89" xr:uid="{286E6ADC-1DB8-6549-AF5D-6F22E91043FD}"/>
    <hyperlink ref="F90" r:id="rId90" xr:uid="{2AFC847F-9E09-4E4A-AD24-BE59EF2C2F4F}"/>
    <hyperlink ref="F91" r:id="rId91" xr:uid="{D6A6AF08-81FE-954E-A7AE-00412991CD85}"/>
    <hyperlink ref="F92" r:id="rId92" xr:uid="{88DD44C6-C497-6443-B23B-B9899AAA3D01}"/>
    <hyperlink ref="F93" r:id="rId93" xr:uid="{EC75A1A0-90B5-3242-B16C-8D0C37AC9115}"/>
    <hyperlink ref="F94" r:id="rId94" xr:uid="{D2885031-7556-9D45-B7B4-52B82BDFFFFD}"/>
    <hyperlink ref="F95" r:id="rId95" xr:uid="{37BECE53-A04E-F044-9BC7-A2FF9CCAB025}"/>
    <hyperlink ref="F96" r:id="rId96" xr:uid="{7BD13EC5-682B-E345-ADCE-A53EA91EFE97}"/>
    <hyperlink ref="F97" r:id="rId97" xr:uid="{2011AAC0-4C69-774A-B67D-BFCF000FB655}"/>
    <hyperlink ref="F98" r:id="rId98" xr:uid="{70EC1DF2-1513-224B-9BB8-3EA41D451FA0}"/>
    <hyperlink ref="F99" r:id="rId99" xr:uid="{55117EEB-D35F-6743-A520-5E426B965901}"/>
    <hyperlink ref="F100" r:id="rId100" xr:uid="{FEFF7B56-B5E1-6F4D-8A45-BD1C41790C4B}"/>
    <hyperlink ref="F101" r:id="rId101" xr:uid="{E79FACDB-C4F5-A64E-B7D4-A5B8F7423D95}"/>
    <hyperlink ref="F102" r:id="rId102" xr:uid="{6C4483FE-9CCD-1C4E-8625-2D15C160CD99}"/>
    <hyperlink ref="F103" r:id="rId103" xr:uid="{EABBFEC1-4F58-D846-A9CD-DC3665B6F2BC}"/>
    <hyperlink ref="F104" r:id="rId104" xr:uid="{8767C2D0-CED4-804B-B020-660A640492A5}"/>
    <hyperlink ref="F105" r:id="rId105" xr:uid="{36671F55-020D-4B4E-A3F4-ABC9B550B9A9}"/>
    <hyperlink ref="F106" r:id="rId106" xr:uid="{80AD2316-8A8D-8246-BC75-308DEEBE6695}"/>
    <hyperlink ref="F107" r:id="rId107" xr:uid="{16E445E4-6C1C-8544-B248-77B0B28435F6}"/>
    <hyperlink ref="F108" r:id="rId108" xr:uid="{6C5DB7F3-60EA-BA42-8E26-E9DB03B07158}"/>
    <hyperlink ref="F109" r:id="rId109" xr:uid="{6ACC7C35-8943-CD48-9446-ADC20793FDD0}"/>
    <hyperlink ref="F110" r:id="rId110" xr:uid="{87772C5A-12CA-0E44-AA25-ED856FD6E0D0}"/>
    <hyperlink ref="F118" r:id="rId111" xr:uid="{A2460D9C-FA70-8B44-A0F7-551C29FFE694}"/>
    <hyperlink ref="F123" r:id="rId112" xr:uid="{2F553A8A-2BB2-5B44-B7C5-BC1621E0C590}"/>
    <hyperlink ref="F124" r:id="rId113" xr:uid="{48BFB3C4-8D94-D14D-9180-D3228703D599}"/>
    <hyperlink ref="F125" r:id="rId114" xr:uid="{C4CC3FBE-D2E4-5E4C-8AC7-B17293A2BB1C}"/>
    <hyperlink ref="F126" r:id="rId115" xr:uid="{65AD068B-96AF-CF49-B43D-5C5E06A04BC9}"/>
    <hyperlink ref="F127" r:id="rId116" xr:uid="{889D2819-129C-8748-BAF5-1BADCC186550}"/>
    <hyperlink ref="F128" r:id="rId117" xr:uid="{DFD94C90-A27A-B343-9736-EB06A4F3093A}"/>
    <hyperlink ref="F129" r:id="rId118" xr:uid="{AD1C85F1-D8F6-0B4F-BE3E-764A354AE66F}"/>
    <hyperlink ref="F130" r:id="rId119" xr:uid="{502429E7-CEE4-8141-AD38-D5EC85778D42}"/>
    <hyperlink ref="F131" r:id="rId120" xr:uid="{CC6F9DC8-823E-5343-97EF-A9557E07F230}"/>
    <hyperlink ref="F132" r:id="rId121" xr:uid="{B2F4343A-C1E3-7741-ACA3-6030CA111606}"/>
    <hyperlink ref="F136" r:id="rId122" xr:uid="{0374FD05-7F52-5646-9851-A890034FF578}"/>
    <hyperlink ref="F137" r:id="rId123" xr:uid="{9BAEC2ED-6CA1-DF41-8962-F5BDF1B32296}"/>
    <hyperlink ref="F138" r:id="rId124" xr:uid="{100793E0-B264-F543-BED5-F3403B639027}"/>
    <hyperlink ref="F139" r:id="rId125" xr:uid="{E6D94623-69FC-DF4E-8952-55A8A691C4FE}"/>
    <hyperlink ref="F140" r:id="rId126" xr:uid="{9E0310D8-F61D-0446-AE54-E4FA5C2A35F0}"/>
    <hyperlink ref="F141" r:id="rId127" xr:uid="{6CADF637-9007-E14B-BC60-22C73FD0D301}"/>
    <hyperlink ref="F142" r:id="rId128" xr:uid="{28213A02-7650-7C4E-A8DA-FEAEB2D4FBF6}"/>
    <hyperlink ref="F143" r:id="rId129" xr:uid="{B8B6DDE6-FB4D-BA46-A230-A09331C395F3}"/>
    <hyperlink ref="F144" r:id="rId130" xr:uid="{EB21CE3E-0682-A545-9B46-7232983971D6}"/>
    <hyperlink ref="F145" r:id="rId131" xr:uid="{9D7A108F-010D-4140-90A9-D2D9FA7D5EC7}"/>
    <hyperlink ref="F147" r:id="rId132" xr:uid="{C946990A-5F6D-CD43-B92F-205A70E46976}"/>
    <hyperlink ref="F148" r:id="rId133" xr:uid="{5782504F-F0E3-D543-8054-C1BA78A7CBEE}"/>
    <hyperlink ref="F149" r:id="rId134" xr:uid="{2EB63F4B-9139-DC40-96CE-DD570C446C8B}"/>
    <hyperlink ref="F152" r:id="rId135" xr:uid="{83644DB9-76B4-4C45-B1F4-78F699FF3FC3}"/>
    <hyperlink ref="F153" r:id="rId136" xr:uid="{3E339C99-CD44-BF4E-922A-0A4EDBD0D534}"/>
    <hyperlink ref="F154" r:id="rId137" xr:uid="{E68F145F-938F-F249-BFFF-4418EF8A1A5D}"/>
    <hyperlink ref="F155" r:id="rId138" xr:uid="{9EDCEE04-0D88-6349-8941-07137417DCC0}"/>
    <hyperlink ref="F169" r:id="rId139" xr:uid="{FAFE44AA-5EA2-6649-9489-525E3FE54C23}"/>
    <hyperlink ref="F163" r:id="rId140" xr:uid="{2C7A87B7-B552-6C4E-89FC-3AA98AD80845}"/>
    <hyperlink ref="F170" r:id="rId141" xr:uid="{735C1EE6-0372-3B4B-B337-34E654EA7332}"/>
    <hyperlink ref="F171" r:id="rId142" xr:uid="{620DB34C-1EA4-C344-8795-24AFF54AA5AE}"/>
    <hyperlink ref="F172" r:id="rId143" xr:uid="{CB7818F1-42FD-1D40-ADE0-EFDAF1ECEFC5}"/>
    <hyperlink ref="F173" r:id="rId144" xr:uid="{5387DB33-95BA-9140-8BDF-8E66A1AC979B}"/>
    <hyperlink ref="F174" r:id="rId145" xr:uid="{EF62E12F-709C-AE4F-84C3-719B10E445B6}"/>
    <hyperlink ref="F175" r:id="rId146" xr:uid="{B97940B7-EC72-4A41-8FF2-90C7256929E8}"/>
    <hyperlink ref="F176" r:id="rId147" xr:uid="{FAB7E33B-F6C4-684C-AADA-D8F4965E754E}"/>
    <hyperlink ref="F179" r:id="rId148" xr:uid="{D4830111-FBF1-A949-8229-46C97BE8F673}"/>
    <hyperlink ref="F183" r:id="rId149" xr:uid="{00ED4444-E311-8E4E-A0DC-AF6352D1FB38}"/>
    <hyperlink ref="F196" r:id="rId150" xr:uid="{043BF742-F375-ED4B-B611-988D192C6581}"/>
    <hyperlink ref="F195" r:id="rId151" xr:uid="{042804C3-1FC7-CE41-8A80-4365E3C88A67}"/>
    <hyperlink ref="F194" r:id="rId152" xr:uid="{B77559A1-791D-6843-997B-B9A3DB82BD5C}"/>
    <hyperlink ref="F193" r:id="rId153" xr:uid="{D3D3F274-F8F1-4646-ADFB-2149BEF49E5A}"/>
    <hyperlink ref="F190" r:id="rId154" xr:uid="{5FDAC53B-2295-4D4B-82C0-34B3A3AB995C}"/>
    <hyperlink ref="F187" r:id="rId155" xr:uid="{56EAA8BB-092A-6E44-AA96-0D922C888EAD}"/>
    <hyperlink ref="F197" r:id="rId156" xr:uid="{50D5E5B0-4D39-4C47-A6C8-09726EDDE737}"/>
    <hyperlink ref="F198" r:id="rId157" xr:uid="{423FBF5A-E63E-DD43-BF92-CF040119A633}"/>
    <hyperlink ref="F199" r:id="rId158" xr:uid="{A848D73D-B499-2243-B191-042F5C0E0422}"/>
    <hyperlink ref="F200" r:id="rId159" xr:uid="{7609DA3D-0D43-6045-B7C9-8F7A7730041B}"/>
    <hyperlink ref="F204" r:id="rId160" xr:uid="{B333F557-BD09-D34F-8F71-0D1288AF05DD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FAE88-06E2-7645-9F63-F5A30285BE16}">
  <sheetPr codeName="Sheet2"/>
  <dimension ref="A1:J102"/>
  <sheetViews>
    <sheetView topLeftCell="A2" workbookViewId="0">
      <selection activeCell="J28" sqref="J28"/>
    </sheetView>
  </sheetViews>
  <sheetFormatPr baseColWidth="10" defaultRowHeight="15" x14ac:dyDescent="0.2"/>
  <cols>
    <col min="1" max="1" width="6" customWidth="1"/>
    <col min="2" max="2" width="21.6640625" customWidth="1"/>
    <col min="3" max="3" width="3.6640625" customWidth="1"/>
    <col min="4" max="4" width="10.83203125" style="19"/>
  </cols>
  <sheetData>
    <row r="1" spans="1:10" x14ac:dyDescent="0.2">
      <c r="A1" s="14" t="s">
        <v>2224</v>
      </c>
      <c r="D1" s="18" t="s">
        <v>2227</v>
      </c>
      <c r="G1" s="18" t="s">
        <v>2247</v>
      </c>
    </row>
    <row r="2" spans="1:10" x14ac:dyDescent="0.2">
      <c r="A2" s="17">
        <v>0</v>
      </c>
      <c r="B2" s="16" t="s">
        <v>1099</v>
      </c>
      <c r="D2" s="19">
        <v>0</v>
      </c>
      <c r="E2" t="s">
        <v>2225</v>
      </c>
      <c r="G2" s="238" t="s">
        <v>1147</v>
      </c>
      <c r="H2" s="238" t="s">
        <v>2248</v>
      </c>
      <c r="I2" s="238" t="s">
        <v>1074</v>
      </c>
      <c r="J2" s="238" t="s">
        <v>2249</v>
      </c>
    </row>
    <row r="3" spans="1:10" x14ac:dyDescent="0.2">
      <c r="A3" s="17">
        <v>7.5</v>
      </c>
      <c r="B3" s="16" t="s">
        <v>1100</v>
      </c>
      <c r="D3" s="19">
        <v>0.01</v>
      </c>
      <c r="E3" t="s">
        <v>2225</v>
      </c>
      <c r="G3" s="17">
        <v>0</v>
      </c>
      <c r="H3" s="16" t="s">
        <v>1099</v>
      </c>
      <c r="I3" s="10">
        <v>98</v>
      </c>
      <c r="J3" t="s">
        <v>1076</v>
      </c>
    </row>
    <row r="4" spans="1:10" x14ac:dyDescent="0.2">
      <c r="A4" s="17">
        <v>15</v>
      </c>
      <c r="B4" s="16" t="s">
        <v>1101</v>
      </c>
      <c r="D4" s="19">
        <v>0.02</v>
      </c>
      <c r="E4" t="s">
        <v>2225</v>
      </c>
      <c r="I4" s="10">
        <v>94</v>
      </c>
      <c r="J4" t="s">
        <v>1077</v>
      </c>
    </row>
    <row r="5" spans="1:10" x14ac:dyDescent="0.2">
      <c r="A5" s="17">
        <v>22.5</v>
      </c>
      <c r="B5" s="16" t="s">
        <v>1102</v>
      </c>
      <c r="D5" s="19">
        <v>0.03</v>
      </c>
      <c r="E5" t="s">
        <v>2225</v>
      </c>
      <c r="I5" s="10">
        <v>88</v>
      </c>
      <c r="J5" t="s">
        <v>1078</v>
      </c>
    </row>
    <row r="6" spans="1:10" x14ac:dyDescent="0.2">
      <c r="A6" s="17">
        <v>30</v>
      </c>
      <c r="B6" s="16" t="s">
        <v>1103</v>
      </c>
      <c r="D6" s="19">
        <v>0.04</v>
      </c>
      <c r="E6" t="s">
        <v>2225</v>
      </c>
      <c r="I6" s="10">
        <v>81</v>
      </c>
      <c r="J6" t="s">
        <v>1079</v>
      </c>
    </row>
    <row r="7" spans="1:10" x14ac:dyDescent="0.2">
      <c r="A7" s="17">
        <v>37.5</v>
      </c>
      <c r="B7" s="16" t="s">
        <v>1104</v>
      </c>
      <c r="D7" s="19">
        <v>0.05</v>
      </c>
      <c r="E7" t="s">
        <v>2225</v>
      </c>
      <c r="I7" s="10">
        <v>70</v>
      </c>
      <c r="J7" t="s">
        <v>1080</v>
      </c>
    </row>
    <row r="8" spans="1:10" x14ac:dyDescent="0.2">
      <c r="A8" s="17">
        <v>45</v>
      </c>
      <c r="B8" s="16" t="s">
        <v>1105</v>
      </c>
      <c r="D8" s="19">
        <v>0.06</v>
      </c>
      <c r="E8" t="s">
        <v>2225</v>
      </c>
      <c r="I8" s="10">
        <v>50</v>
      </c>
      <c r="J8" t="s">
        <v>1081</v>
      </c>
    </row>
    <row r="9" spans="1:10" x14ac:dyDescent="0.2">
      <c r="A9" s="17">
        <v>52.5</v>
      </c>
      <c r="B9" s="16" t="s">
        <v>1106</v>
      </c>
      <c r="D9" s="19">
        <v>7.0000000000000007E-2</v>
      </c>
      <c r="E9" t="s">
        <v>2225</v>
      </c>
      <c r="I9" s="10">
        <v>88</v>
      </c>
      <c r="J9" t="s">
        <v>1082</v>
      </c>
    </row>
    <row r="10" spans="1:10" x14ac:dyDescent="0.2">
      <c r="A10" s="17">
        <v>60</v>
      </c>
      <c r="B10" s="16" t="s">
        <v>1107</v>
      </c>
      <c r="D10" s="19">
        <v>0.08</v>
      </c>
      <c r="E10" t="s">
        <v>2225</v>
      </c>
      <c r="I10" s="10">
        <v>81</v>
      </c>
      <c r="J10" t="s">
        <v>1083</v>
      </c>
    </row>
    <row r="11" spans="1:10" x14ac:dyDescent="0.2">
      <c r="A11" s="17">
        <v>67.5</v>
      </c>
      <c r="B11" s="16" t="s">
        <v>1108</v>
      </c>
      <c r="D11" s="19">
        <v>0.09</v>
      </c>
      <c r="E11" t="s">
        <v>2225</v>
      </c>
      <c r="I11" s="10">
        <v>72</v>
      </c>
      <c r="J11" t="s">
        <v>1084</v>
      </c>
    </row>
    <row r="12" spans="1:10" x14ac:dyDescent="0.2">
      <c r="A12" s="17">
        <v>75</v>
      </c>
      <c r="B12" s="16" t="s">
        <v>1109</v>
      </c>
      <c r="D12" s="19">
        <v>0.1</v>
      </c>
      <c r="E12" t="s">
        <v>2225</v>
      </c>
      <c r="I12" s="10">
        <v>61</v>
      </c>
      <c r="J12" t="s">
        <v>1085</v>
      </c>
    </row>
    <row r="13" spans="1:10" x14ac:dyDescent="0.2">
      <c r="A13" s="17">
        <v>82.5</v>
      </c>
      <c r="B13" s="16" t="s">
        <v>1110</v>
      </c>
      <c r="D13" s="19">
        <v>0.11</v>
      </c>
      <c r="E13" t="s">
        <v>2225</v>
      </c>
      <c r="I13" s="10">
        <v>45</v>
      </c>
      <c r="J13" t="s">
        <v>1086</v>
      </c>
    </row>
    <row r="14" spans="1:10" x14ac:dyDescent="0.2">
      <c r="A14" s="17">
        <v>90</v>
      </c>
      <c r="B14" s="16" t="s">
        <v>1111</v>
      </c>
      <c r="D14" s="19">
        <v>0.12</v>
      </c>
      <c r="E14" t="s">
        <v>2225</v>
      </c>
      <c r="I14" s="10">
        <v>64</v>
      </c>
      <c r="J14" s="12" t="s">
        <v>1087</v>
      </c>
    </row>
    <row r="15" spans="1:10" x14ac:dyDescent="0.2">
      <c r="A15" s="17">
        <v>97.5</v>
      </c>
      <c r="B15" s="16" t="s">
        <v>1112</v>
      </c>
      <c r="D15" s="19">
        <v>0.13</v>
      </c>
      <c r="E15" t="s">
        <v>2225</v>
      </c>
      <c r="I15" s="10">
        <v>57</v>
      </c>
      <c r="J15" s="12" t="s">
        <v>1088</v>
      </c>
    </row>
    <row r="16" spans="1:10" x14ac:dyDescent="0.2">
      <c r="A16" s="17">
        <v>105</v>
      </c>
      <c r="B16" s="16" t="s">
        <v>1113</v>
      </c>
      <c r="D16" s="19">
        <v>0.14000000000000001</v>
      </c>
      <c r="E16" t="s">
        <v>2225</v>
      </c>
      <c r="I16" s="10">
        <v>47</v>
      </c>
      <c r="J16" s="12" t="s">
        <v>1089</v>
      </c>
    </row>
    <row r="17" spans="1:10" x14ac:dyDescent="0.2">
      <c r="A17" s="17">
        <v>112.5</v>
      </c>
      <c r="B17" s="16" t="s">
        <v>1114</v>
      </c>
      <c r="D17" s="19">
        <v>0.15</v>
      </c>
      <c r="E17" t="s">
        <v>2225</v>
      </c>
      <c r="I17" s="10">
        <v>33</v>
      </c>
      <c r="J17" t="s">
        <v>1090</v>
      </c>
    </row>
    <row r="18" spans="1:10" x14ac:dyDescent="0.2">
      <c r="A18" s="17">
        <v>120</v>
      </c>
      <c r="B18" s="16" t="s">
        <v>1115</v>
      </c>
      <c r="D18" s="19">
        <v>0.16</v>
      </c>
      <c r="E18" t="s">
        <v>2225</v>
      </c>
      <c r="I18" s="10">
        <v>34</v>
      </c>
      <c r="J18" t="s">
        <v>1091</v>
      </c>
    </row>
    <row r="19" spans="1:10" x14ac:dyDescent="0.2">
      <c r="A19" s="17">
        <v>127.5</v>
      </c>
      <c r="B19" s="16" t="s">
        <v>1116</v>
      </c>
      <c r="D19" s="19">
        <v>0.17</v>
      </c>
      <c r="E19" t="s">
        <v>2225</v>
      </c>
      <c r="I19" s="10">
        <v>30</v>
      </c>
      <c r="J19" t="s">
        <v>1092</v>
      </c>
    </row>
    <row r="20" spans="1:10" x14ac:dyDescent="0.2">
      <c r="A20" s="17">
        <v>135</v>
      </c>
      <c r="B20" s="16" t="s">
        <v>1117</v>
      </c>
      <c r="D20" s="19">
        <v>0.18</v>
      </c>
      <c r="E20" t="s">
        <v>2225</v>
      </c>
      <c r="I20" s="10">
        <v>25</v>
      </c>
      <c r="J20" t="s">
        <v>1093</v>
      </c>
    </row>
    <row r="21" spans="1:10" x14ac:dyDescent="0.2">
      <c r="A21" s="17">
        <v>142.5</v>
      </c>
      <c r="B21" s="16" t="s">
        <v>1118</v>
      </c>
      <c r="D21" s="19">
        <v>0.19</v>
      </c>
      <c r="E21" t="s">
        <v>2225</v>
      </c>
      <c r="I21" s="10">
        <v>17</v>
      </c>
      <c r="J21" t="s">
        <v>1094</v>
      </c>
    </row>
    <row r="22" spans="1:10" x14ac:dyDescent="0.2">
      <c r="A22" s="17">
        <v>150</v>
      </c>
      <c r="B22" s="16" t="s">
        <v>1119</v>
      </c>
      <c r="D22" s="19">
        <v>0.2</v>
      </c>
      <c r="E22" t="s">
        <v>2225</v>
      </c>
      <c r="I22" s="10">
        <v>11</v>
      </c>
      <c r="J22" t="s">
        <v>1095</v>
      </c>
    </row>
    <row r="23" spans="1:10" x14ac:dyDescent="0.2">
      <c r="A23" s="17">
        <v>157.5</v>
      </c>
      <c r="B23" s="16" t="s">
        <v>1120</v>
      </c>
      <c r="D23" s="19">
        <v>0.21</v>
      </c>
      <c r="E23" t="s">
        <v>2225</v>
      </c>
      <c r="I23" s="10">
        <v>9</v>
      </c>
      <c r="J23" t="s">
        <v>1096</v>
      </c>
    </row>
    <row r="24" spans="1:10" x14ac:dyDescent="0.2">
      <c r="A24" s="17">
        <v>165</v>
      </c>
      <c r="B24" s="16" t="s">
        <v>1121</v>
      </c>
      <c r="D24" s="19">
        <v>0.22</v>
      </c>
      <c r="E24" t="s">
        <v>2225</v>
      </c>
      <c r="I24" s="10">
        <v>5</v>
      </c>
      <c r="J24" t="s">
        <v>1097</v>
      </c>
    </row>
    <row r="25" spans="1:10" x14ac:dyDescent="0.2">
      <c r="A25" s="17">
        <v>172.5</v>
      </c>
      <c r="B25" s="16" t="s">
        <v>1122</v>
      </c>
      <c r="D25" s="19">
        <v>0.23</v>
      </c>
      <c r="E25" t="s">
        <v>2225</v>
      </c>
    </row>
    <row r="26" spans="1:10" x14ac:dyDescent="0.2">
      <c r="A26" s="17">
        <v>180</v>
      </c>
      <c r="B26" s="16" t="s">
        <v>1123</v>
      </c>
      <c r="D26" s="19">
        <v>0.24</v>
      </c>
      <c r="E26" t="s">
        <v>2225</v>
      </c>
      <c r="G26" s="17">
        <v>7.5</v>
      </c>
      <c r="H26" s="16" t="s">
        <v>1100</v>
      </c>
      <c r="I26" s="10">
        <v>88</v>
      </c>
      <c r="J26" t="s">
        <v>1153</v>
      </c>
    </row>
    <row r="27" spans="1:10" x14ac:dyDescent="0.2">
      <c r="A27" s="17">
        <v>187.5</v>
      </c>
      <c r="B27" s="16" t="s">
        <v>1124</v>
      </c>
      <c r="D27" s="19">
        <v>0.25</v>
      </c>
      <c r="E27" t="s">
        <v>2225</v>
      </c>
      <c r="I27" s="10">
        <v>81</v>
      </c>
      <c r="J27" t="s">
        <v>1154</v>
      </c>
    </row>
    <row r="28" spans="1:10" x14ac:dyDescent="0.2">
      <c r="A28" s="17">
        <v>195</v>
      </c>
      <c r="B28" s="16" t="s">
        <v>1125</v>
      </c>
      <c r="D28" s="19">
        <v>0.26</v>
      </c>
      <c r="E28" t="s">
        <v>2225</v>
      </c>
      <c r="I28" s="10">
        <v>70</v>
      </c>
      <c r="J28" t="s">
        <v>1155</v>
      </c>
    </row>
    <row r="29" spans="1:10" x14ac:dyDescent="0.2">
      <c r="A29" s="17">
        <v>202.5</v>
      </c>
      <c r="B29" s="16" t="s">
        <v>1126</v>
      </c>
      <c r="D29" s="19">
        <v>0.27</v>
      </c>
      <c r="E29" t="s">
        <v>2225</v>
      </c>
      <c r="I29" s="10">
        <v>50</v>
      </c>
      <c r="J29" t="s">
        <v>1156</v>
      </c>
    </row>
    <row r="30" spans="1:10" x14ac:dyDescent="0.2">
      <c r="A30" s="17">
        <v>210</v>
      </c>
      <c r="B30" s="16" t="s">
        <v>1127</v>
      </c>
      <c r="D30" s="19">
        <v>0.28000000000000003</v>
      </c>
      <c r="E30" t="s">
        <v>2225</v>
      </c>
      <c r="I30" s="10">
        <v>72</v>
      </c>
      <c r="J30" t="s">
        <v>1157</v>
      </c>
    </row>
    <row r="31" spans="1:10" x14ac:dyDescent="0.2">
      <c r="A31" s="17">
        <v>217.5</v>
      </c>
      <c r="B31" s="16" t="s">
        <v>1128</v>
      </c>
      <c r="D31" s="19">
        <v>0.28999999999999998</v>
      </c>
      <c r="E31" t="s">
        <v>2225</v>
      </c>
      <c r="I31" s="10">
        <v>61</v>
      </c>
      <c r="J31" t="s">
        <v>1158</v>
      </c>
    </row>
    <row r="32" spans="1:10" x14ac:dyDescent="0.2">
      <c r="A32" s="17">
        <v>225</v>
      </c>
      <c r="B32" s="16" t="s">
        <v>1129</v>
      </c>
      <c r="D32" s="19">
        <v>0.3</v>
      </c>
      <c r="E32" t="s">
        <v>2225</v>
      </c>
      <c r="I32" s="10">
        <v>45</v>
      </c>
      <c r="J32" t="s">
        <v>1159</v>
      </c>
    </row>
    <row r="33" spans="1:10" x14ac:dyDescent="0.2">
      <c r="A33" s="17">
        <v>232.5</v>
      </c>
      <c r="B33" s="16" t="s">
        <v>1130</v>
      </c>
      <c r="D33" s="19">
        <v>0.31</v>
      </c>
      <c r="E33" t="s">
        <v>2225</v>
      </c>
      <c r="I33" s="10">
        <v>47</v>
      </c>
      <c r="J33" t="s">
        <v>1160</v>
      </c>
    </row>
    <row r="34" spans="1:10" x14ac:dyDescent="0.2">
      <c r="A34" s="17">
        <v>240</v>
      </c>
      <c r="B34" s="16" t="s">
        <v>1131</v>
      </c>
      <c r="D34" s="19">
        <v>0.32</v>
      </c>
      <c r="E34" t="s">
        <v>2225</v>
      </c>
      <c r="I34" s="10">
        <v>33</v>
      </c>
      <c r="J34" t="s">
        <v>1161</v>
      </c>
    </row>
    <row r="35" spans="1:10" x14ac:dyDescent="0.2">
      <c r="A35" s="17">
        <v>247.5</v>
      </c>
      <c r="B35" s="16" t="s">
        <v>1132</v>
      </c>
      <c r="D35" s="19">
        <v>0.33</v>
      </c>
      <c r="E35" t="s">
        <v>2225</v>
      </c>
      <c r="I35" s="10">
        <v>25</v>
      </c>
      <c r="J35" t="s">
        <v>1162</v>
      </c>
    </row>
    <row r="36" spans="1:10" x14ac:dyDescent="0.2">
      <c r="A36" s="17">
        <v>255</v>
      </c>
      <c r="B36" s="16" t="s">
        <v>1133</v>
      </c>
      <c r="D36" s="19">
        <v>0.34</v>
      </c>
      <c r="E36" t="s">
        <v>2225</v>
      </c>
      <c r="I36" s="10">
        <v>17</v>
      </c>
      <c r="J36" t="s">
        <v>1163</v>
      </c>
    </row>
    <row r="37" spans="1:10" x14ac:dyDescent="0.2">
      <c r="A37" s="17">
        <v>262.5</v>
      </c>
      <c r="B37" s="16" t="s">
        <v>1134</v>
      </c>
      <c r="D37" s="19">
        <v>0.35</v>
      </c>
      <c r="E37" t="s">
        <v>2225</v>
      </c>
    </row>
    <row r="38" spans="1:10" x14ac:dyDescent="0.2">
      <c r="A38" s="17">
        <v>270</v>
      </c>
      <c r="B38" s="16" t="s">
        <v>1135</v>
      </c>
      <c r="D38" s="19">
        <v>0.36</v>
      </c>
      <c r="E38" t="s">
        <v>2225</v>
      </c>
    </row>
    <row r="39" spans="1:10" x14ac:dyDescent="0.2">
      <c r="A39" s="17">
        <v>277.5</v>
      </c>
      <c r="B39" s="16" t="s">
        <v>1136</v>
      </c>
      <c r="D39" s="19">
        <v>0.37</v>
      </c>
      <c r="E39" t="s">
        <v>2225</v>
      </c>
    </row>
    <row r="40" spans="1:10" x14ac:dyDescent="0.2">
      <c r="A40" s="17">
        <v>285</v>
      </c>
      <c r="B40" s="16" t="s">
        <v>1137</v>
      </c>
      <c r="D40" s="19">
        <v>0.38</v>
      </c>
      <c r="E40" t="s">
        <v>2225</v>
      </c>
    </row>
    <row r="41" spans="1:10" x14ac:dyDescent="0.2">
      <c r="A41" s="17">
        <v>292.5</v>
      </c>
      <c r="B41" s="16" t="s">
        <v>1138</v>
      </c>
      <c r="D41" s="19">
        <v>0.39</v>
      </c>
      <c r="E41" t="s">
        <v>2225</v>
      </c>
    </row>
    <row r="42" spans="1:10" x14ac:dyDescent="0.2">
      <c r="A42" s="17">
        <v>300</v>
      </c>
      <c r="B42" s="16" t="s">
        <v>1139</v>
      </c>
      <c r="D42" s="19">
        <v>0.4</v>
      </c>
      <c r="E42" t="s">
        <v>2226</v>
      </c>
    </row>
    <row r="43" spans="1:10" x14ac:dyDescent="0.2">
      <c r="A43" s="17">
        <v>307.5</v>
      </c>
      <c r="B43" s="16" t="s">
        <v>1140</v>
      </c>
      <c r="D43" s="19">
        <v>0.41</v>
      </c>
      <c r="E43" t="s">
        <v>2226</v>
      </c>
    </row>
    <row r="44" spans="1:10" x14ac:dyDescent="0.2">
      <c r="A44" s="17">
        <v>315</v>
      </c>
      <c r="B44" s="16" t="s">
        <v>1141</v>
      </c>
      <c r="D44" s="19">
        <v>0.42</v>
      </c>
      <c r="E44" t="s">
        <v>2226</v>
      </c>
    </row>
    <row r="45" spans="1:10" x14ac:dyDescent="0.2">
      <c r="A45" s="17">
        <v>322.5</v>
      </c>
      <c r="B45" s="16" t="s">
        <v>1142</v>
      </c>
      <c r="D45" s="19">
        <v>0.43</v>
      </c>
      <c r="E45" t="s">
        <v>2226</v>
      </c>
    </row>
    <row r="46" spans="1:10" x14ac:dyDescent="0.2">
      <c r="A46" s="17">
        <v>330</v>
      </c>
      <c r="B46" s="16" t="s">
        <v>1143</v>
      </c>
      <c r="D46" s="19">
        <v>0.44</v>
      </c>
      <c r="E46" t="s">
        <v>2226</v>
      </c>
    </row>
    <row r="47" spans="1:10" x14ac:dyDescent="0.2">
      <c r="A47" s="17">
        <v>337.5</v>
      </c>
      <c r="B47" s="16" t="s">
        <v>1144</v>
      </c>
      <c r="D47" s="19">
        <v>0.45</v>
      </c>
      <c r="E47" t="s">
        <v>2226</v>
      </c>
    </row>
    <row r="48" spans="1:10" x14ac:dyDescent="0.2">
      <c r="A48" s="17">
        <v>345</v>
      </c>
      <c r="B48" s="16" t="s">
        <v>1145</v>
      </c>
      <c r="D48" s="19">
        <v>0.46</v>
      </c>
      <c r="E48" t="s">
        <v>2226</v>
      </c>
    </row>
    <row r="49" spans="1:8" x14ac:dyDescent="0.2">
      <c r="A49" s="17">
        <v>352.5</v>
      </c>
      <c r="B49" s="16" t="s">
        <v>1146</v>
      </c>
      <c r="D49" s="19">
        <v>0.47</v>
      </c>
      <c r="E49" t="s">
        <v>2226</v>
      </c>
    </row>
    <row r="50" spans="1:8" x14ac:dyDescent="0.2">
      <c r="A50" s="17"/>
      <c r="B50" s="16"/>
      <c r="D50" s="19">
        <v>0.48</v>
      </c>
      <c r="E50" t="s">
        <v>2226</v>
      </c>
    </row>
    <row r="51" spans="1:8" x14ac:dyDescent="0.2">
      <c r="A51" s="17"/>
      <c r="B51" s="16"/>
      <c r="D51" s="19">
        <v>0.49</v>
      </c>
      <c r="E51" t="s">
        <v>2226</v>
      </c>
      <c r="G51" s="17">
        <v>15</v>
      </c>
      <c r="H51" s="16" t="s">
        <v>1101</v>
      </c>
    </row>
    <row r="52" spans="1:8" x14ac:dyDescent="0.2">
      <c r="A52" s="17"/>
      <c r="B52" s="16"/>
      <c r="D52" s="19">
        <v>0.5</v>
      </c>
      <c r="E52" t="s">
        <v>2226</v>
      </c>
      <c r="G52" s="17">
        <v>22.5</v>
      </c>
      <c r="H52" s="16" t="s">
        <v>1102</v>
      </c>
    </row>
    <row r="53" spans="1:8" x14ac:dyDescent="0.2">
      <c r="A53" s="17"/>
      <c r="B53" s="16"/>
      <c r="D53" s="19">
        <v>0.51</v>
      </c>
      <c r="E53" t="s">
        <v>2226</v>
      </c>
      <c r="G53" s="17">
        <v>30</v>
      </c>
      <c r="H53" s="16" t="s">
        <v>1103</v>
      </c>
    </row>
    <row r="54" spans="1:8" x14ac:dyDescent="0.2">
      <c r="A54" s="17"/>
      <c r="B54" s="16"/>
      <c r="D54" s="19">
        <v>0.52</v>
      </c>
      <c r="E54" t="s">
        <v>2226</v>
      </c>
      <c r="G54" s="17">
        <v>37.5</v>
      </c>
      <c r="H54" s="16" t="s">
        <v>1104</v>
      </c>
    </row>
    <row r="55" spans="1:8" x14ac:dyDescent="0.2">
      <c r="A55" s="17"/>
      <c r="B55" s="16"/>
      <c r="D55" s="19">
        <v>0.53</v>
      </c>
      <c r="E55" t="s">
        <v>2226</v>
      </c>
      <c r="G55" s="17">
        <v>45</v>
      </c>
      <c r="H55" s="16" t="s">
        <v>1105</v>
      </c>
    </row>
    <row r="56" spans="1:8" x14ac:dyDescent="0.2">
      <c r="A56" s="17"/>
      <c r="B56" s="16"/>
      <c r="D56" s="19">
        <v>0.54</v>
      </c>
      <c r="E56" t="s">
        <v>2226</v>
      </c>
      <c r="G56" s="17">
        <v>52.5</v>
      </c>
      <c r="H56" s="16" t="s">
        <v>1106</v>
      </c>
    </row>
    <row r="57" spans="1:8" x14ac:dyDescent="0.2">
      <c r="A57" s="17"/>
      <c r="B57" s="16"/>
      <c r="D57" s="19">
        <v>0.55000000000000004</v>
      </c>
      <c r="E57" t="s">
        <v>2226</v>
      </c>
      <c r="G57" s="17">
        <v>60</v>
      </c>
      <c r="H57" s="16" t="s">
        <v>1107</v>
      </c>
    </row>
    <row r="58" spans="1:8" x14ac:dyDescent="0.2">
      <c r="A58" s="17"/>
      <c r="B58" s="16"/>
      <c r="D58" s="19">
        <v>0.56000000000000005</v>
      </c>
      <c r="E58" t="s">
        <v>2226</v>
      </c>
      <c r="G58" s="17">
        <v>67.5</v>
      </c>
      <c r="H58" s="16" t="s">
        <v>1108</v>
      </c>
    </row>
    <row r="59" spans="1:8" x14ac:dyDescent="0.2">
      <c r="A59" s="17"/>
      <c r="B59" s="16"/>
      <c r="D59" s="19">
        <v>0.56999999999999995</v>
      </c>
      <c r="E59" t="s">
        <v>2226</v>
      </c>
      <c r="G59" s="17">
        <v>75</v>
      </c>
      <c r="H59" s="16" t="s">
        <v>1109</v>
      </c>
    </row>
    <row r="60" spans="1:8" x14ac:dyDescent="0.2">
      <c r="A60" s="17"/>
      <c r="B60" s="16"/>
      <c r="D60" s="19">
        <v>0.57999999999999996</v>
      </c>
      <c r="E60" t="s">
        <v>2226</v>
      </c>
      <c r="G60" s="17">
        <v>82.5</v>
      </c>
      <c r="H60" s="16" t="s">
        <v>1110</v>
      </c>
    </row>
    <row r="61" spans="1:8" x14ac:dyDescent="0.2">
      <c r="A61" s="17"/>
      <c r="B61" s="16"/>
      <c r="D61" s="19">
        <v>0.59</v>
      </c>
      <c r="E61" t="s">
        <v>2226</v>
      </c>
      <c r="G61" s="17">
        <v>90</v>
      </c>
      <c r="H61" s="16" t="s">
        <v>1111</v>
      </c>
    </row>
    <row r="62" spans="1:8" x14ac:dyDescent="0.2">
      <c r="A62" s="17"/>
      <c r="B62" s="16"/>
      <c r="D62" s="19">
        <v>0.6</v>
      </c>
      <c r="E62" t="s">
        <v>2226</v>
      </c>
      <c r="G62" s="17">
        <v>97.5</v>
      </c>
      <c r="H62" s="16" t="s">
        <v>1112</v>
      </c>
    </row>
    <row r="63" spans="1:8" x14ac:dyDescent="0.2">
      <c r="A63" s="17"/>
      <c r="B63" s="16"/>
      <c r="D63" s="19">
        <v>0.61</v>
      </c>
      <c r="E63" t="s">
        <v>2226</v>
      </c>
      <c r="G63" s="17">
        <v>105</v>
      </c>
      <c r="H63" s="16" t="s">
        <v>1113</v>
      </c>
    </row>
    <row r="64" spans="1:8" x14ac:dyDescent="0.2">
      <c r="A64" s="17"/>
      <c r="B64" s="16"/>
      <c r="D64" s="19">
        <v>0.62</v>
      </c>
      <c r="E64" t="s">
        <v>2226</v>
      </c>
      <c r="G64" s="17">
        <v>112.5</v>
      </c>
      <c r="H64" s="16" t="s">
        <v>1114</v>
      </c>
    </row>
    <row r="65" spans="1:8" x14ac:dyDescent="0.2">
      <c r="A65" s="17"/>
      <c r="B65" s="16"/>
      <c r="D65" s="19">
        <v>0.63</v>
      </c>
      <c r="E65" t="s">
        <v>2226</v>
      </c>
      <c r="G65" s="17">
        <v>120</v>
      </c>
      <c r="H65" s="16" t="s">
        <v>1115</v>
      </c>
    </row>
    <row r="66" spans="1:8" x14ac:dyDescent="0.2">
      <c r="A66" s="17"/>
      <c r="B66" s="16"/>
      <c r="D66" s="19">
        <v>0.64</v>
      </c>
      <c r="E66" t="s">
        <v>2226</v>
      </c>
      <c r="G66" s="17">
        <v>127.5</v>
      </c>
      <c r="H66" s="16" t="s">
        <v>1116</v>
      </c>
    </row>
    <row r="67" spans="1:8" x14ac:dyDescent="0.2">
      <c r="A67" s="17"/>
      <c r="B67" s="16"/>
      <c r="D67" s="19">
        <v>0.65</v>
      </c>
      <c r="E67" t="s">
        <v>2226</v>
      </c>
      <c r="G67" s="17">
        <v>135</v>
      </c>
      <c r="H67" s="16" t="s">
        <v>1117</v>
      </c>
    </row>
    <row r="68" spans="1:8" x14ac:dyDescent="0.2">
      <c r="A68" s="17"/>
      <c r="B68" s="16"/>
      <c r="D68" s="19">
        <v>0.66</v>
      </c>
      <c r="E68" t="s">
        <v>2226</v>
      </c>
      <c r="G68" s="17">
        <v>142.5</v>
      </c>
      <c r="H68" s="16" t="s">
        <v>1118</v>
      </c>
    </row>
    <row r="69" spans="1:8" x14ac:dyDescent="0.2">
      <c r="A69" s="17"/>
      <c r="B69" s="16"/>
      <c r="D69" s="19">
        <v>0.67</v>
      </c>
      <c r="E69" t="s">
        <v>2226</v>
      </c>
      <c r="G69" s="17">
        <v>150</v>
      </c>
      <c r="H69" s="16" t="s">
        <v>1119</v>
      </c>
    </row>
    <row r="70" spans="1:8" x14ac:dyDescent="0.2">
      <c r="A70" s="17"/>
      <c r="B70" s="17"/>
      <c r="D70" s="19">
        <v>0.68</v>
      </c>
      <c r="E70" t="s">
        <v>2226</v>
      </c>
      <c r="G70" s="17">
        <v>157.5</v>
      </c>
      <c r="H70" s="16" t="s">
        <v>1120</v>
      </c>
    </row>
    <row r="71" spans="1:8" x14ac:dyDescent="0.2">
      <c r="D71" s="19">
        <v>0.69</v>
      </c>
      <c r="E71" t="s">
        <v>2226</v>
      </c>
      <c r="G71" s="17">
        <v>165</v>
      </c>
      <c r="H71" s="16" t="s">
        <v>1121</v>
      </c>
    </row>
    <row r="72" spans="1:8" x14ac:dyDescent="0.2">
      <c r="D72" s="19">
        <v>0.7</v>
      </c>
      <c r="E72" t="s">
        <v>1859</v>
      </c>
      <c r="G72" s="17">
        <v>172.5</v>
      </c>
      <c r="H72" s="16" t="s">
        <v>1122</v>
      </c>
    </row>
    <row r="73" spans="1:8" x14ac:dyDescent="0.2">
      <c r="D73" s="19">
        <v>0.71</v>
      </c>
      <c r="E73" t="s">
        <v>1859</v>
      </c>
      <c r="G73" s="17">
        <v>180</v>
      </c>
      <c r="H73" s="16" t="s">
        <v>1123</v>
      </c>
    </row>
    <row r="74" spans="1:8" x14ac:dyDescent="0.2">
      <c r="D74" s="19">
        <v>0.72</v>
      </c>
      <c r="E74" t="s">
        <v>1859</v>
      </c>
      <c r="G74" s="17">
        <v>187.5</v>
      </c>
      <c r="H74" s="16" t="s">
        <v>1124</v>
      </c>
    </row>
    <row r="75" spans="1:8" x14ac:dyDescent="0.2">
      <c r="D75" s="19">
        <v>0.73</v>
      </c>
      <c r="E75" t="s">
        <v>1859</v>
      </c>
      <c r="G75" s="17">
        <v>195</v>
      </c>
      <c r="H75" s="16" t="s">
        <v>1125</v>
      </c>
    </row>
    <row r="76" spans="1:8" x14ac:dyDescent="0.2">
      <c r="D76" s="19">
        <v>0.74</v>
      </c>
      <c r="E76" t="s">
        <v>1859</v>
      </c>
      <c r="G76" s="17">
        <v>202.5</v>
      </c>
      <c r="H76" s="16" t="s">
        <v>1126</v>
      </c>
    </row>
    <row r="77" spans="1:8" x14ac:dyDescent="0.2">
      <c r="D77" s="19">
        <v>0.75</v>
      </c>
      <c r="E77" t="s">
        <v>1859</v>
      </c>
      <c r="G77" s="17">
        <v>210</v>
      </c>
      <c r="H77" s="16" t="s">
        <v>1127</v>
      </c>
    </row>
    <row r="78" spans="1:8" x14ac:dyDescent="0.2">
      <c r="D78" s="19">
        <v>0.76</v>
      </c>
      <c r="E78" t="s">
        <v>1859</v>
      </c>
      <c r="G78" s="17">
        <v>217.5</v>
      </c>
      <c r="H78" s="16" t="s">
        <v>1128</v>
      </c>
    </row>
    <row r="79" spans="1:8" x14ac:dyDescent="0.2">
      <c r="D79" s="19">
        <v>0.77</v>
      </c>
      <c r="E79" t="s">
        <v>1859</v>
      </c>
      <c r="G79" s="17">
        <v>225</v>
      </c>
      <c r="H79" s="16" t="s">
        <v>1129</v>
      </c>
    </row>
    <row r="80" spans="1:8" x14ac:dyDescent="0.2">
      <c r="D80" s="19">
        <v>0.78</v>
      </c>
      <c r="E80" t="s">
        <v>1859</v>
      </c>
      <c r="G80" s="17">
        <v>232.5</v>
      </c>
      <c r="H80" s="16" t="s">
        <v>1130</v>
      </c>
    </row>
    <row r="81" spans="4:8" x14ac:dyDescent="0.2">
      <c r="D81" s="19">
        <v>0.79</v>
      </c>
      <c r="E81" t="s">
        <v>1859</v>
      </c>
      <c r="G81" s="17">
        <v>240</v>
      </c>
      <c r="H81" s="16" t="s">
        <v>1131</v>
      </c>
    </row>
    <row r="82" spans="4:8" x14ac:dyDescent="0.2">
      <c r="D82" s="19">
        <v>0.8</v>
      </c>
      <c r="E82" t="s">
        <v>1859</v>
      </c>
      <c r="G82" s="17">
        <v>247.5</v>
      </c>
      <c r="H82" s="16" t="s">
        <v>1132</v>
      </c>
    </row>
    <row r="83" spans="4:8" x14ac:dyDescent="0.2">
      <c r="D83" s="19">
        <v>0.81</v>
      </c>
      <c r="E83" t="s">
        <v>1859</v>
      </c>
      <c r="G83" s="17">
        <v>255</v>
      </c>
      <c r="H83" s="16" t="s">
        <v>1133</v>
      </c>
    </row>
    <row r="84" spans="4:8" x14ac:dyDescent="0.2">
      <c r="D84" s="19">
        <v>0.82</v>
      </c>
      <c r="E84" t="s">
        <v>1859</v>
      </c>
      <c r="G84" s="17">
        <v>262.5</v>
      </c>
      <c r="H84" s="16" t="s">
        <v>1134</v>
      </c>
    </row>
    <row r="85" spans="4:8" x14ac:dyDescent="0.2">
      <c r="D85" s="19">
        <v>0.83</v>
      </c>
      <c r="E85" t="s">
        <v>1859</v>
      </c>
      <c r="G85" s="17">
        <v>270</v>
      </c>
      <c r="H85" s="16" t="s">
        <v>1135</v>
      </c>
    </row>
    <row r="86" spans="4:8" x14ac:dyDescent="0.2">
      <c r="D86" s="19">
        <v>0.84</v>
      </c>
      <c r="E86" t="s">
        <v>1859</v>
      </c>
      <c r="G86" s="17">
        <v>277.5</v>
      </c>
      <c r="H86" s="16" t="s">
        <v>1136</v>
      </c>
    </row>
    <row r="87" spans="4:8" x14ac:dyDescent="0.2">
      <c r="D87" s="19">
        <v>0.85</v>
      </c>
      <c r="E87" t="s">
        <v>1859</v>
      </c>
      <c r="G87" s="17">
        <v>285</v>
      </c>
      <c r="H87" s="16" t="s">
        <v>1137</v>
      </c>
    </row>
    <row r="88" spans="4:8" x14ac:dyDescent="0.2">
      <c r="D88" s="19">
        <v>0.86</v>
      </c>
      <c r="E88" t="s">
        <v>1859</v>
      </c>
      <c r="G88" s="17">
        <v>292.5</v>
      </c>
      <c r="H88" s="16" t="s">
        <v>1138</v>
      </c>
    </row>
    <row r="89" spans="4:8" x14ac:dyDescent="0.2">
      <c r="D89" s="19">
        <v>0.87</v>
      </c>
      <c r="E89" t="s">
        <v>1859</v>
      </c>
      <c r="G89" s="17">
        <v>300</v>
      </c>
      <c r="H89" s="16" t="s">
        <v>1139</v>
      </c>
    </row>
    <row r="90" spans="4:8" x14ac:dyDescent="0.2">
      <c r="D90" s="19">
        <v>0.88</v>
      </c>
      <c r="E90" t="s">
        <v>1859</v>
      </c>
      <c r="G90" s="17">
        <v>307.5</v>
      </c>
      <c r="H90" s="16" t="s">
        <v>1140</v>
      </c>
    </row>
    <row r="91" spans="4:8" x14ac:dyDescent="0.2">
      <c r="D91" s="19">
        <v>0.89</v>
      </c>
      <c r="E91" t="s">
        <v>1859</v>
      </c>
      <c r="G91" s="17">
        <v>315</v>
      </c>
      <c r="H91" s="16" t="s">
        <v>1141</v>
      </c>
    </row>
    <row r="92" spans="4:8" x14ac:dyDescent="0.2">
      <c r="D92" s="19">
        <v>0.9</v>
      </c>
      <c r="E92" t="s">
        <v>1859</v>
      </c>
      <c r="G92" s="17">
        <v>322.5</v>
      </c>
      <c r="H92" s="16" t="s">
        <v>1142</v>
      </c>
    </row>
    <row r="93" spans="4:8" x14ac:dyDescent="0.2">
      <c r="D93" s="19">
        <v>0.91</v>
      </c>
      <c r="E93" t="s">
        <v>1859</v>
      </c>
      <c r="G93" s="17">
        <v>330</v>
      </c>
      <c r="H93" s="16" t="s">
        <v>1143</v>
      </c>
    </row>
    <row r="94" spans="4:8" x14ac:dyDescent="0.2">
      <c r="D94" s="19">
        <v>0.92</v>
      </c>
      <c r="E94" t="s">
        <v>1859</v>
      </c>
      <c r="G94" s="17">
        <v>337.5</v>
      </c>
      <c r="H94" s="16" t="s">
        <v>1144</v>
      </c>
    </row>
    <row r="95" spans="4:8" x14ac:dyDescent="0.2">
      <c r="D95" s="19">
        <v>0.93</v>
      </c>
      <c r="E95" t="s">
        <v>1859</v>
      </c>
      <c r="G95" s="17">
        <v>345</v>
      </c>
      <c r="H95" s="16" t="s">
        <v>1145</v>
      </c>
    </row>
    <row r="96" spans="4:8" x14ac:dyDescent="0.2">
      <c r="D96" s="19">
        <v>0.94</v>
      </c>
      <c r="E96" t="s">
        <v>1859</v>
      </c>
      <c r="G96" s="17">
        <v>352.5</v>
      </c>
      <c r="H96" s="16" t="s">
        <v>1146</v>
      </c>
    </row>
    <row r="97" spans="4:5" x14ac:dyDescent="0.2">
      <c r="D97" s="19">
        <v>0.95</v>
      </c>
      <c r="E97" t="s">
        <v>1859</v>
      </c>
    </row>
    <row r="98" spans="4:5" x14ac:dyDescent="0.2">
      <c r="D98" s="19">
        <v>0.96</v>
      </c>
      <c r="E98" t="s">
        <v>1859</v>
      </c>
    </row>
    <row r="99" spans="4:5" x14ac:dyDescent="0.2">
      <c r="D99" s="19">
        <v>0.97</v>
      </c>
      <c r="E99" t="s">
        <v>1859</v>
      </c>
    </row>
    <row r="100" spans="4:5" x14ac:dyDescent="0.2">
      <c r="D100" s="19">
        <v>0.98</v>
      </c>
      <c r="E100" t="s">
        <v>1859</v>
      </c>
    </row>
    <row r="101" spans="4:5" x14ac:dyDescent="0.2">
      <c r="D101" s="19">
        <v>0.99</v>
      </c>
      <c r="E101" t="s">
        <v>1859</v>
      </c>
    </row>
    <row r="102" spans="4:5" x14ac:dyDescent="0.2">
      <c r="D102" s="19">
        <v>1</v>
      </c>
      <c r="E102" t="s">
        <v>1859</v>
      </c>
    </row>
  </sheetData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690"/>
  <sheetViews>
    <sheetView topLeftCell="A9" workbookViewId="0">
      <selection activeCell="H37" sqref="H37"/>
    </sheetView>
  </sheetViews>
  <sheetFormatPr baseColWidth="10" defaultColWidth="8.83203125" defaultRowHeight="15" x14ac:dyDescent="0.2"/>
  <cols>
    <col min="1" max="1" width="17.6640625" style="6" customWidth="1"/>
    <col min="2" max="2" width="8.83203125" style="2"/>
    <col min="4" max="4" width="8.83203125" style="10"/>
    <col min="5" max="5" width="4" customWidth="1"/>
    <col min="6" max="7" width="4.1640625" customWidth="1"/>
    <col min="8" max="8" width="25.33203125" customWidth="1"/>
  </cols>
  <sheetData>
    <row r="1" spans="1:11" x14ac:dyDescent="0.2">
      <c r="A1" s="5" t="s">
        <v>1098</v>
      </c>
    </row>
    <row r="2" spans="1:11" x14ac:dyDescent="0.2">
      <c r="A2" s="6" t="s">
        <v>1075</v>
      </c>
    </row>
    <row r="7" spans="1:11" x14ac:dyDescent="0.2">
      <c r="A7" s="6" t="s">
        <v>1148</v>
      </c>
      <c r="B7" s="2" t="s">
        <v>1147</v>
      </c>
      <c r="C7" t="s">
        <v>1073</v>
      </c>
      <c r="D7" s="10" t="s">
        <v>1074</v>
      </c>
      <c r="E7" t="s">
        <v>1149</v>
      </c>
      <c r="F7" t="s">
        <v>1150</v>
      </c>
      <c r="G7" t="s">
        <v>1151</v>
      </c>
      <c r="J7" s="8"/>
    </row>
    <row r="8" spans="1:11" x14ac:dyDescent="0.2">
      <c r="A8" s="7" t="s">
        <v>1099</v>
      </c>
      <c r="B8" s="2">
        <v>0</v>
      </c>
      <c r="J8" s="11" t="s">
        <v>1813</v>
      </c>
      <c r="K8" s="11"/>
    </row>
    <row r="9" spans="1:11" x14ac:dyDescent="0.2">
      <c r="C9">
        <v>100</v>
      </c>
      <c r="D9" s="10">
        <v>98</v>
      </c>
      <c r="E9">
        <v>255</v>
      </c>
      <c r="F9">
        <v>246</v>
      </c>
      <c r="G9">
        <v>246</v>
      </c>
      <c r="H9" t="s">
        <v>1076</v>
      </c>
      <c r="I9" s="9"/>
      <c r="J9" t="s">
        <v>1811</v>
      </c>
    </row>
    <row r="10" spans="1:11" x14ac:dyDescent="0.2">
      <c r="C10">
        <v>100</v>
      </c>
      <c r="D10" s="10">
        <v>94</v>
      </c>
      <c r="E10">
        <v>255</v>
      </c>
      <c r="F10">
        <v>226</v>
      </c>
      <c r="G10">
        <v>226</v>
      </c>
      <c r="H10" t="s">
        <v>1077</v>
      </c>
      <c r="J10" t="s">
        <v>1810</v>
      </c>
    </row>
    <row r="11" spans="1:11" x14ac:dyDescent="0.2">
      <c r="C11">
        <v>100</v>
      </c>
      <c r="D11" s="10">
        <v>88</v>
      </c>
      <c r="E11">
        <v>255</v>
      </c>
      <c r="F11">
        <v>194</v>
      </c>
      <c r="G11">
        <v>194</v>
      </c>
      <c r="H11" t="s">
        <v>1078</v>
      </c>
    </row>
    <row r="12" spans="1:11" x14ac:dyDescent="0.2">
      <c r="C12">
        <v>100</v>
      </c>
      <c r="D12" s="10">
        <v>81</v>
      </c>
      <c r="E12">
        <v>255</v>
      </c>
      <c r="F12">
        <v>158</v>
      </c>
      <c r="G12">
        <v>158</v>
      </c>
      <c r="H12" t="s">
        <v>1079</v>
      </c>
    </row>
    <row r="13" spans="1:11" x14ac:dyDescent="0.2">
      <c r="C13">
        <v>100</v>
      </c>
      <c r="D13" s="10">
        <v>70</v>
      </c>
      <c r="E13">
        <v>255</v>
      </c>
      <c r="F13">
        <v>101</v>
      </c>
      <c r="G13">
        <v>101</v>
      </c>
      <c r="H13" t="s">
        <v>1080</v>
      </c>
    </row>
    <row r="14" spans="1:11" x14ac:dyDescent="0.2">
      <c r="C14">
        <v>100</v>
      </c>
      <c r="D14" s="10">
        <v>50</v>
      </c>
      <c r="E14">
        <v>255</v>
      </c>
      <c r="F14">
        <v>0</v>
      </c>
      <c r="G14">
        <v>0</v>
      </c>
      <c r="H14" t="s">
        <v>1081</v>
      </c>
    </row>
    <row r="15" spans="1:11" x14ac:dyDescent="0.2">
      <c r="C15">
        <v>23</v>
      </c>
      <c r="D15" s="10">
        <v>88</v>
      </c>
      <c r="E15">
        <v>231</v>
      </c>
      <c r="F15">
        <v>218</v>
      </c>
      <c r="G15">
        <v>218</v>
      </c>
      <c r="H15" t="s">
        <v>1082</v>
      </c>
    </row>
    <row r="16" spans="1:11" x14ac:dyDescent="0.2">
      <c r="C16">
        <v>50</v>
      </c>
      <c r="D16" s="10">
        <v>81</v>
      </c>
      <c r="E16">
        <v>231</v>
      </c>
      <c r="F16">
        <v>184</v>
      </c>
      <c r="G16">
        <v>184</v>
      </c>
      <c r="H16" t="s">
        <v>1083</v>
      </c>
    </row>
    <row r="17" spans="1:10" x14ac:dyDescent="0.2">
      <c r="C17">
        <v>66</v>
      </c>
      <c r="D17" s="10">
        <v>72</v>
      </c>
      <c r="E17">
        <v>231</v>
      </c>
      <c r="F17">
        <v>139</v>
      </c>
      <c r="G17">
        <v>139</v>
      </c>
      <c r="H17" t="s">
        <v>1084</v>
      </c>
    </row>
    <row r="18" spans="1:10" x14ac:dyDescent="0.2">
      <c r="C18">
        <v>76</v>
      </c>
      <c r="D18" s="10">
        <v>61</v>
      </c>
      <c r="E18">
        <v>231</v>
      </c>
      <c r="F18">
        <v>81</v>
      </c>
      <c r="G18">
        <v>81</v>
      </c>
      <c r="H18" t="s">
        <v>1085</v>
      </c>
    </row>
    <row r="19" spans="1:10" x14ac:dyDescent="0.2">
      <c r="C19">
        <v>100</v>
      </c>
      <c r="D19" s="10">
        <v>45</v>
      </c>
      <c r="E19">
        <v>231</v>
      </c>
      <c r="F19">
        <v>0</v>
      </c>
      <c r="G19">
        <v>0</v>
      </c>
      <c r="H19" t="s">
        <v>1086</v>
      </c>
    </row>
    <row r="20" spans="1:10" x14ac:dyDescent="0.2">
      <c r="C20">
        <v>6</v>
      </c>
      <c r="D20" s="10">
        <v>64</v>
      </c>
      <c r="E20">
        <v>168</v>
      </c>
      <c r="F20">
        <v>156</v>
      </c>
      <c r="G20">
        <v>156</v>
      </c>
      <c r="H20" s="12" t="s">
        <v>1087</v>
      </c>
      <c r="J20" t="s">
        <v>1812</v>
      </c>
    </row>
    <row r="21" spans="1:10" x14ac:dyDescent="0.2">
      <c r="C21">
        <v>20</v>
      </c>
      <c r="D21" s="10">
        <v>57</v>
      </c>
      <c r="E21">
        <v>168</v>
      </c>
      <c r="F21">
        <v>125</v>
      </c>
      <c r="G21">
        <v>125</v>
      </c>
      <c r="H21" s="12" t="s">
        <v>1088</v>
      </c>
    </row>
    <row r="22" spans="1:10" x14ac:dyDescent="0.2">
      <c r="C22">
        <v>39</v>
      </c>
      <c r="D22" s="10">
        <v>47</v>
      </c>
      <c r="E22">
        <v>168</v>
      </c>
      <c r="F22">
        <v>74</v>
      </c>
      <c r="G22">
        <v>74</v>
      </c>
      <c r="H22" s="12" t="s">
        <v>1089</v>
      </c>
    </row>
    <row r="23" spans="1:10" x14ac:dyDescent="0.2">
      <c r="C23">
        <v>100</v>
      </c>
      <c r="D23" s="10">
        <v>33</v>
      </c>
      <c r="E23">
        <v>168</v>
      </c>
      <c r="F23">
        <v>0</v>
      </c>
      <c r="G23">
        <v>0</v>
      </c>
      <c r="H23" t="s">
        <v>1090</v>
      </c>
    </row>
    <row r="24" spans="1:10" x14ac:dyDescent="0.2">
      <c r="C24">
        <v>4</v>
      </c>
      <c r="D24" s="10">
        <v>34</v>
      </c>
      <c r="E24">
        <v>89</v>
      </c>
      <c r="F24">
        <v>83</v>
      </c>
      <c r="G24">
        <v>83</v>
      </c>
      <c r="H24" t="s">
        <v>1091</v>
      </c>
    </row>
    <row r="25" spans="1:10" x14ac:dyDescent="0.2">
      <c r="C25">
        <v>15</v>
      </c>
      <c r="D25" s="10">
        <v>30</v>
      </c>
      <c r="E25">
        <v>89</v>
      </c>
      <c r="F25">
        <v>66</v>
      </c>
      <c r="G25">
        <v>66</v>
      </c>
      <c r="H25" t="s">
        <v>1092</v>
      </c>
    </row>
    <row r="26" spans="1:10" x14ac:dyDescent="0.2">
      <c r="C26">
        <v>39</v>
      </c>
      <c r="D26" s="10">
        <v>25</v>
      </c>
      <c r="E26">
        <v>89</v>
      </c>
      <c r="F26">
        <v>39</v>
      </c>
      <c r="G26">
        <v>39</v>
      </c>
      <c r="H26" t="s">
        <v>1093</v>
      </c>
    </row>
    <row r="27" spans="1:10" x14ac:dyDescent="0.2">
      <c r="C27">
        <v>100</v>
      </c>
      <c r="D27" s="10">
        <v>17</v>
      </c>
      <c r="E27">
        <v>89</v>
      </c>
      <c r="F27">
        <v>0</v>
      </c>
      <c r="G27">
        <v>0</v>
      </c>
      <c r="H27" t="s">
        <v>1094</v>
      </c>
    </row>
    <row r="28" spans="1:10" x14ac:dyDescent="0.2">
      <c r="C28">
        <v>4</v>
      </c>
      <c r="D28" s="10">
        <v>11</v>
      </c>
      <c r="E28">
        <v>29</v>
      </c>
      <c r="F28">
        <v>26</v>
      </c>
      <c r="G28">
        <v>26</v>
      </c>
      <c r="H28" t="s">
        <v>1095</v>
      </c>
    </row>
    <row r="29" spans="1:10" x14ac:dyDescent="0.2">
      <c r="C29">
        <v>27</v>
      </c>
      <c r="D29" s="10">
        <v>9</v>
      </c>
      <c r="E29">
        <v>29</v>
      </c>
      <c r="F29">
        <v>17</v>
      </c>
      <c r="G29">
        <v>17</v>
      </c>
      <c r="H29" t="s">
        <v>1096</v>
      </c>
    </row>
    <row r="30" spans="1:10" x14ac:dyDescent="0.2">
      <c r="C30">
        <v>100</v>
      </c>
      <c r="D30" s="10">
        <v>5</v>
      </c>
      <c r="E30">
        <v>29</v>
      </c>
      <c r="F30">
        <v>0</v>
      </c>
      <c r="G30">
        <v>0</v>
      </c>
      <c r="H30" t="s">
        <v>1097</v>
      </c>
    </row>
    <row r="32" spans="1:10" x14ac:dyDescent="0.2">
      <c r="A32" s="7" t="s">
        <v>1100</v>
      </c>
      <c r="B32" s="2">
        <v>7.5</v>
      </c>
    </row>
    <row r="33" spans="1:10" x14ac:dyDescent="0.2">
      <c r="C33">
        <v>100</v>
      </c>
      <c r="D33" s="10">
        <v>88</v>
      </c>
      <c r="E33">
        <v>255</v>
      </c>
      <c r="F33">
        <v>201</v>
      </c>
      <c r="G33">
        <v>194</v>
      </c>
      <c r="H33" t="s">
        <v>1153</v>
      </c>
      <c r="J33" s="11" t="s">
        <v>1809</v>
      </c>
    </row>
    <row r="34" spans="1:10" x14ac:dyDescent="0.2">
      <c r="C34">
        <v>100</v>
      </c>
      <c r="D34" s="10">
        <v>81</v>
      </c>
      <c r="E34">
        <v>255</v>
      </c>
      <c r="F34">
        <v>170</v>
      </c>
      <c r="G34">
        <v>158</v>
      </c>
      <c r="H34" t="s">
        <v>1154</v>
      </c>
    </row>
    <row r="35" spans="1:10" x14ac:dyDescent="0.2">
      <c r="C35">
        <v>100</v>
      </c>
      <c r="D35" s="10">
        <v>70</v>
      </c>
      <c r="E35">
        <v>255</v>
      </c>
      <c r="F35">
        <v>120</v>
      </c>
      <c r="G35">
        <v>101</v>
      </c>
      <c r="H35" t="s">
        <v>1155</v>
      </c>
    </row>
    <row r="36" spans="1:10" x14ac:dyDescent="0.2">
      <c r="C36">
        <v>100</v>
      </c>
      <c r="D36" s="10">
        <v>50</v>
      </c>
      <c r="E36">
        <v>255</v>
      </c>
      <c r="F36">
        <v>32</v>
      </c>
      <c r="G36">
        <v>0</v>
      </c>
      <c r="H36" t="s">
        <v>1156</v>
      </c>
    </row>
    <row r="37" spans="1:10" x14ac:dyDescent="0.2">
      <c r="C37">
        <v>66</v>
      </c>
      <c r="D37" s="10">
        <v>72</v>
      </c>
      <c r="E37">
        <v>231</v>
      </c>
      <c r="F37">
        <v>150</v>
      </c>
      <c r="G37">
        <v>139</v>
      </c>
      <c r="H37" t="s">
        <v>1157</v>
      </c>
    </row>
    <row r="38" spans="1:10" x14ac:dyDescent="0.2">
      <c r="C38">
        <v>76</v>
      </c>
      <c r="D38" s="10">
        <v>61</v>
      </c>
      <c r="E38">
        <v>231</v>
      </c>
      <c r="F38">
        <v>100</v>
      </c>
      <c r="G38">
        <v>81</v>
      </c>
      <c r="H38" t="s">
        <v>1158</v>
      </c>
    </row>
    <row r="39" spans="1:10" x14ac:dyDescent="0.2">
      <c r="C39">
        <v>100</v>
      </c>
      <c r="D39" s="10">
        <v>45</v>
      </c>
      <c r="E39">
        <v>231</v>
      </c>
      <c r="F39">
        <v>29</v>
      </c>
      <c r="G39">
        <v>0</v>
      </c>
      <c r="H39" t="s">
        <v>1159</v>
      </c>
    </row>
    <row r="40" spans="1:10" x14ac:dyDescent="0.2">
      <c r="C40">
        <v>39</v>
      </c>
      <c r="D40" s="10">
        <v>47</v>
      </c>
      <c r="E40">
        <v>168</v>
      </c>
      <c r="F40">
        <v>85</v>
      </c>
      <c r="G40">
        <v>74</v>
      </c>
      <c r="H40" t="s">
        <v>1160</v>
      </c>
    </row>
    <row r="41" spans="1:10" x14ac:dyDescent="0.2">
      <c r="C41">
        <v>100</v>
      </c>
      <c r="D41" s="10">
        <v>33</v>
      </c>
      <c r="E41">
        <v>168</v>
      </c>
      <c r="F41">
        <v>21</v>
      </c>
      <c r="G41">
        <v>0</v>
      </c>
      <c r="H41" t="s">
        <v>1161</v>
      </c>
    </row>
    <row r="42" spans="1:10" x14ac:dyDescent="0.2">
      <c r="C42">
        <v>39</v>
      </c>
      <c r="D42" s="10">
        <v>25</v>
      </c>
      <c r="E42">
        <v>89</v>
      </c>
      <c r="F42">
        <v>45</v>
      </c>
      <c r="G42">
        <v>39</v>
      </c>
      <c r="H42" t="s">
        <v>1162</v>
      </c>
    </row>
    <row r="43" spans="1:10" x14ac:dyDescent="0.2">
      <c r="C43">
        <v>100</v>
      </c>
      <c r="D43" s="10">
        <v>17</v>
      </c>
      <c r="E43">
        <v>89</v>
      </c>
      <c r="F43">
        <v>11</v>
      </c>
      <c r="G43">
        <v>0</v>
      </c>
      <c r="H43" t="s">
        <v>1163</v>
      </c>
    </row>
    <row r="45" spans="1:10" x14ac:dyDescent="0.2">
      <c r="A45" s="7" t="s">
        <v>1101</v>
      </c>
      <c r="B45" s="2">
        <v>15</v>
      </c>
    </row>
    <row r="46" spans="1:10" x14ac:dyDescent="0.2">
      <c r="E46">
        <v>255</v>
      </c>
      <c r="F46">
        <v>233</v>
      </c>
      <c r="G46">
        <v>226</v>
      </c>
      <c r="H46" t="s">
        <v>1164</v>
      </c>
    </row>
    <row r="47" spans="1:10" x14ac:dyDescent="0.2">
      <c r="E47">
        <v>255</v>
      </c>
      <c r="F47">
        <v>209</v>
      </c>
      <c r="G47">
        <v>194</v>
      </c>
      <c r="H47" t="s">
        <v>1165</v>
      </c>
    </row>
    <row r="48" spans="1:10" x14ac:dyDescent="0.2">
      <c r="A48" s="7" t="s">
        <v>1102</v>
      </c>
      <c r="B48" s="2">
        <v>22.5</v>
      </c>
      <c r="E48">
        <v>255</v>
      </c>
      <c r="F48">
        <v>182</v>
      </c>
      <c r="G48">
        <v>158</v>
      </c>
      <c r="H48" t="s">
        <v>1166</v>
      </c>
    </row>
    <row r="49" spans="1:8" x14ac:dyDescent="0.2">
      <c r="A49" s="7" t="s">
        <v>1103</v>
      </c>
      <c r="B49" s="2">
        <v>30</v>
      </c>
      <c r="E49">
        <v>255</v>
      </c>
      <c r="F49">
        <v>139</v>
      </c>
      <c r="G49">
        <v>101</v>
      </c>
      <c r="H49" t="s">
        <v>1167</v>
      </c>
    </row>
    <row r="50" spans="1:8" x14ac:dyDescent="0.2">
      <c r="A50" s="7" t="s">
        <v>1104</v>
      </c>
      <c r="B50" s="2">
        <v>37.5</v>
      </c>
      <c r="E50">
        <v>255</v>
      </c>
      <c r="F50">
        <v>64</v>
      </c>
      <c r="G50">
        <v>0</v>
      </c>
      <c r="H50" t="s">
        <v>1168</v>
      </c>
    </row>
    <row r="51" spans="1:8" x14ac:dyDescent="0.2">
      <c r="A51" s="7" t="s">
        <v>1105</v>
      </c>
      <c r="B51" s="2">
        <v>45</v>
      </c>
      <c r="E51">
        <v>231</v>
      </c>
      <c r="F51">
        <v>196</v>
      </c>
      <c r="G51">
        <v>184</v>
      </c>
      <c r="H51" t="s">
        <v>1169</v>
      </c>
    </row>
    <row r="52" spans="1:8" x14ac:dyDescent="0.2">
      <c r="A52" s="7" t="s">
        <v>1106</v>
      </c>
      <c r="B52" s="2">
        <v>52.5</v>
      </c>
      <c r="E52">
        <v>231</v>
      </c>
      <c r="F52">
        <v>162</v>
      </c>
      <c r="G52">
        <v>139</v>
      </c>
      <c r="H52" t="s">
        <v>1170</v>
      </c>
    </row>
    <row r="53" spans="1:8" x14ac:dyDescent="0.2">
      <c r="A53" s="7" t="s">
        <v>1107</v>
      </c>
      <c r="B53" s="2">
        <v>60</v>
      </c>
      <c r="E53">
        <v>231</v>
      </c>
      <c r="F53">
        <v>119</v>
      </c>
      <c r="G53">
        <v>81</v>
      </c>
      <c r="H53" t="s">
        <v>1171</v>
      </c>
    </row>
    <row r="54" spans="1:8" x14ac:dyDescent="0.2">
      <c r="A54" s="7" t="s">
        <v>1108</v>
      </c>
      <c r="B54" s="2">
        <v>67.5</v>
      </c>
      <c r="E54">
        <v>231</v>
      </c>
      <c r="F54">
        <v>58</v>
      </c>
      <c r="G54">
        <v>0</v>
      </c>
      <c r="H54" t="s">
        <v>1172</v>
      </c>
    </row>
    <row r="55" spans="1:8" x14ac:dyDescent="0.2">
      <c r="A55" s="7" t="s">
        <v>1109</v>
      </c>
      <c r="B55" s="2">
        <v>75</v>
      </c>
      <c r="E55">
        <v>168</v>
      </c>
      <c r="F55">
        <v>136</v>
      </c>
      <c r="G55">
        <v>125</v>
      </c>
      <c r="H55" t="s">
        <v>1173</v>
      </c>
    </row>
    <row r="56" spans="1:8" x14ac:dyDescent="0.2">
      <c r="A56" s="7" t="s">
        <v>1110</v>
      </c>
      <c r="B56" s="2">
        <v>82.5</v>
      </c>
      <c r="E56">
        <v>168</v>
      </c>
      <c r="F56">
        <v>97</v>
      </c>
      <c r="G56">
        <v>74</v>
      </c>
      <c r="H56" t="s">
        <v>1174</v>
      </c>
    </row>
    <row r="57" spans="1:8" x14ac:dyDescent="0.2">
      <c r="A57" s="7" t="s">
        <v>1111</v>
      </c>
      <c r="B57" s="2">
        <v>90</v>
      </c>
      <c r="E57">
        <v>168</v>
      </c>
      <c r="F57">
        <v>42</v>
      </c>
      <c r="G57">
        <v>0</v>
      </c>
      <c r="H57" t="s">
        <v>1175</v>
      </c>
    </row>
    <row r="58" spans="1:8" x14ac:dyDescent="0.2">
      <c r="A58" s="7" t="s">
        <v>1112</v>
      </c>
      <c r="B58" s="2">
        <v>97.5</v>
      </c>
      <c r="E58">
        <v>89</v>
      </c>
      <c r="F58">
        <v>72</v>
      </c>
      <c r="G58">
        <v>66</v>
      </c>
      <c r="H58" t="s">
        <v>1176</v>
      </c>
    </row>
    <row r="59" spans="1:8" x14ac:dyDescent="0.2">
      <c r="A59" s="7" t="s">
        <v>1113</v>
      </c>
      <c r="B59" s="2">
        <v>105</v>
      </c>
      <c r="E59">
        <v>89</v>
      </c>
      <c r="F59">
        <v>52</v>
      </c>
      <c r="G59">
        <v>39</v>
      </c>
      <c r="H59" t="s">
        <v>1177</v>
      </c>
    </row>
    <row r="60" spans="1:8" x14ac:dyDescent="0.2">
      <c r="A60" s="7" t="s">
        <v>1114</v>
      </c>
      <c r="B60" s="2">
        <v>112.5</v>
      </c>
      <c r="E60">
        <v>89</v>
      </c>
      <c r="F60">
        <v>22</v>
      </c>
      <c r="G60">
        <v>0</v>
      </c>
      <c r="H60" t="s">
        <v>1178</v>
      </c>
    </row>
    <row r="61" spans="1:8" x14ac:dyDescent="0.2">
      <c r="A61" s="7" t="s">
        <v>1115</v>
      </c>
      <c r="B61" s="2">
        <v>120</v>
      </c>
      <c r="E61">
        <v>255</v>
      </c>
      <c r="F61">
        <v>217</v>
      </c>
      <c r="G61">
        <v>194</v>
      </c>
      <c r="H61" t="s">
        <v>1179</v>
      </c>
    </row>
    <row r="62" spans="1:8" x14ac:dyDescent="0.2">
      <c r="A62" s="7" t="s">
        <v>1116</v>
      </c>
      <c r="B62" s="2">
        <v>127.5</v>
      </c>
      <c r="E62">
        <v>255</v>
      </c>
      <c r="F62">
        <v>194</v>
      </c>
      <c r="G62">
        <v>158</v>
      </c>
      <c r="H62" t="s">
        <v>1180</v>
      </c>
    </row>
    <row r="63" spans="1:8" x14ac:dyDescent="0.2">
      <c r="A63" s="7" t="s">
        <v>1117</v>
      </c>
      <c r="B63" s="2">
        <v>135</v>
      </c>
      <c r="E63">
        <v>255</v>
      </c>
      <c r="F63">
        <v>159</v>
      </c>
      <c r="G63">
        <v>101</v>
      </c>
      <c r="H63" t="s">
        <v>1181</v>
      </c>
    </row>
    <row r="64" spans="1:8" x14ac:dyDescent="0.2">
      <c r="A64" s="7" t="s">
        <v>1118</v>
      </c>
      <c r="B64" s="2">
        <v>142.5</v>
      </c>
      <c r="E64">
        <v>255</v>
      </c>
      <c r="F64">
        <v>96</v>
      </c>
      <c r="G64">
        <v>0</v>
      </c>
      <c r="H64" t="s">
        <v>1182</v>
      </c>
    </row>
    <row r="65" spans="1:8" x14ac:dyDescent="0.2">
      <c r="A65" s="7" t="s">
        <v>1119</v>
      </c>
      <c r="B65" s="2">
        <v>150</v>
      </c>
      <c r="E65">
        <v>231</v>
      </c>
      <c r="F65">
        <v>174</v>
      </c>
      <c r="G65">
        <v>139</v>
      </c>
      <c r="H65" t="s">
        <v>1183</v>
      </c>
    </row>
    <row r="66" spans="1:8" x14ac:dyDescent="0.2">
      <c r="A66" s="7" t="s">
        <v>1120</v>
      </c>
      <c r="B66" s="2">
        <v>157.5</v>
      </c>
      <c r="E66">
        <v>231</v>
      </c>
      <c r="F66">
        <v>137</v>
      </c>
      <c r="G66">
        <v>81</v>
      </c>
      <c r="H66" t="s">
        <v>1184</v>
      </c>
    </row>
    <row r="67" spans="1:8" x14ac:dyDescent="0.2">
      <c r="A67" s="7" t="s">
        <v>1121</v>
      </c>
      <c r="B67" s="2">
        <v>165</v>
      </c>
      <c r="E67">
        <v>231</v>
      </c>
      <c r="F67">
        <v>87</v>
      </c>
      <c r="G67">
        <v>0</v>
      </c>
      <c r="H67" t="s">
        <v>1185</v>
      </c>
    </row>
    <row r="68" spans="1:8" x14ac:dyDescent="0.2">
      <c r="A68" s="7" t="s">
        <v>1122</v>
      </c>
      <c r="B68" s="2">
        <v>172.5</v>
      </c>
      <c r="E68">
        <v>168</v>
      </c>
      <c r="F68">
        <v>109</v>
      </c>
      <c r="G68">
        <v>74</v>
      </c>
      <c r="H68" t="s">
        <v>1186</v>
      </c>
    </row>
    <row r="69" spans="1:8" x14ac:dyDescent="0.2">
      <c r="A69" s="7" t="s">
        <v>1123</v>
      </c>
      <c r="B69" s="2">
        <v>180</v>
      </c>
      <c r="E69">
        <v>168</v>
      </c>
      <c r="F69">
        <v>63</v>
      </c>
      <c r="G69">
        <v>0</v>
      </c>
      <c r="H69" t="s">
        <v>1187</v>
      </c>
    </row>
    <row r="70" spans="1:8" x14ac:dyDescent="0.2">
      <c r="A70" s="7" t="s">
        <v>1124</v>
      </c>
      <c r="B70" s="2">
        <v>187.5</v>
      </c>
      <c r="E70">
        <v>89</v>
      </c>
      <c r="F70">
        <v>58</v>
      </c>
      <c r="G70">
        <v>39</v>
      </c>
      <c r="H70" t="s">
        <v>1188</v>
      </c>
    </row>
    <row r="71" spans="1:8" x14ac:dyDescent="0.2">
      <c r="A71" s="7" t="s">
        <v>1125</v>
      </c>
      <c r="B71" s="2">
        <v>195</v>
      </c>
      <c r="E71">
        <v>89</v>
      </c>
      <c r="F71">
        <v>33</v>
      </c>
      <c r="G71">
        <v>0</v>
      </c>
      <c r="H71" t="s">
        <v>1189</v>
      </c>
    </row>
    <row r="72" spans="1:8" x14ac:dyDescent="0.2">
      <c r="A72" s="7" t="s">
        <v>1126</v>
      </c>
      <c r="B72" s="2">
        <v>202.5</v>
      </c>
      <c r="E72">
        <v>255</v>
      </c>
      <c r="F72">
        <v>240</v>
      </c>
      <c r="G72">
        <v>226</v>
      </c>
      <c r="H72" t="s">
        <v>1190</v>
      </c>
    </row>
    <row r="73" spans="1:8" x14ac:dyDescent="0.2">
      <c r="A73" s="7" t="s">
        <v>1127</v>
      </c>
      <c r="B73" s="2">
        <v>210</v>
      </c>
      <c r="E73">
        <v>255</v>
      </c>
      <c r="F73">
        <v>224</v>
      </c>
      <c r="G73">
        <v>194</v>
      </c>
      <c r="H73" t="s">
        <v>1191</v>
      </c>
    </row>
    <row r="74" spans="1:8" x14ac:dyDescent="0.2">
      <c r="A74" s="7" t="s">
        <v>1128</v>
      </c>
      <c r="B74" s="2">
        <v>217.5</v>
      </c>
      <c r="E74">
        <v>255</v>
      </c>
      <c r="F74">
        <v>207</v>
      </c>
      <c r="G74">
        <v>158</v>
      </c>
      <c r="H74" t="s">
        <v>1192</v>
      </c>
    </row>
    <row r="75" spans="1:8" x14ac:dyDescent="0.2">
      <c r="A75" s="7" t="s">
        <v>1129</v>
      </c>
      <c r="B75" s="2">
        <v>225</v>
      </c>
      <c r="E75">
        <v>255</v>
      </c>
      <c r="F75">
        <v>178</v>
      </c>
      <c r="G75">
        <v>101</v>
      </c>
      <c r="H75" t="s">
        <v>1193</v>
      </c>
    </row>
    <row r="76" spans="1:8" x14ac:dyDescent="0.2">
      <c r="A76" s="7" t="s">
        <v>1130</v>
      </c>
      <c r="B76" s="2">
        <v>232.5</v>
      </c>
      <c r="E76">
        <v>255</v>
      </c>
      <c r="F76">
        <v>128</v>
      </c>
      <c r="G76">
        <v>0</v>
      </c>
      <c r="H76" t="s">
        <v>1194</v>
      </c>
    </row>
    <row r="77" spans="1:8" x14ac:dyDescent="0.2">
      <c r="A77" s="7" t="s">
        <v>1131</v>
      </c>
      <c r="B77" s="2">
        <v>240</v>
      </c>
      <c r="E77">
        <v>231</v>
      </c>
      <c r="F77">
        <v>208</v>
      </c>
      <c r="G77">
        <v>184</v>
      </c>
      <c r="H77" t="s">
        <v>1195</v>
      </c>
    </row>
    <row r="78" spans="1:8" x14ac:dyDescent="0.2">
      <c r="A78" s="7" t="s">
        <v>1132</v>
      </c>
      <c r="B78" s="2">
        <v>247.5</v>
      </c>
      <c r="E78">
        <v>231</v>
      </c>
      <c r="F78">
        <v>185</v>
      </c>
      <c r="G78">
        <v>139</v>
      </c>
      <c r="H78" t="s">
        <v>1196</v>
      </c>
    </row>
    <row r="79" spans="1:8" x14ac:dyDescent="0.2">
      <c r="A79" s="7" t="s">
        <v>1133</v>
      </c>
      <c r="B79" s="2">
        <v>255</v>
      </c>
      <c r="E79">
        <v>231</v>
      </c>
      <c r="F79">
        <v>156</v>
      </c>
      <c r="G79">
        <v>81</v>
      </c>
      <c r="H79" t="s">
        <v>1197</v>
      </c>
    </row>
    <row r="80" spans="1:8" x14ac:dyDescent="0.2">
      <c r="A80" s="7" t="s">
        <v>1134</v>
      </c>
      <c r="B80" s="2">
        <v>262.5</v>
      </c>
      <c r="E80">
        <v>231</v>
      </c>
      <c r="F80">
        <v>116</v>
      </c>
      <c r="G80">
        <v>0</v>
      </c>
      <c r="H80" t="s">
        <v>1198</v>
      </c>
    </row>
    <row r="81" spans="1:8" x14ac:dyDescent="0.2">
      <c r="A81" s="7" t="s">
        <v>1135</v>
      </c>
      <c r="B81" s="2">
        <v>270</v>
      </c>
      <c r="E81">
        <v>168</v>
      </c>
      <c r="F81">
        <v>147</v>
      </c>
      <c r="G81">
        <v>125</v>
      </c>
      <c r="H81" t="s">
        <v>1199</v>
      </c>
    </row>
    <row r="82" spans="1:8" x14ac:dyDescent="0.2">
      <c r="A82" s="7" t="s">
        <v>1136</v>
      </c>
      <c r="B82" s="2">
        <v>277.5</v>
      </c>
      <c r="E82">
        <v>168</v>
      </c>
      <c r="F82">
        <v>121</v>
      </c>
      <c r="G82">
        <v>74</v>
      </c>
      <c r="H82" t="s">
        <v>1200</v>
      </c>
    </row>
    <row r="83" spans="1:8" x14ac:dyDescent="0.2">
      <c r="A83" s="7" t="s">
        <v>1137</v>
      </c>
      <c r="B83" s="2">
        <v>285</v>
      </c>
      <c r="E83">
        <v>168</v>
      </c>
      <c r="F83">
        <v>84</v>
      </c>
      <c r="G83">
        <v>0</v>
      </c>
      <c r="H83" t="s">
        <v>1201</v>
      </c>
    </row>
    <row r="84" spans="1:8" x14ac:dyDescent="0.2">
      <c r="A84" s="7" t="s">
        <v>1138</v>
      </c>
      <c r="B84" s="2">
        <v>292.5</v>
      </c>
      <c r="E84">
        <v>89</v>
      </c>
      <c r="F84">
        <v>78</v>
      </c>
      <c r="G84">
        <v>66</v>
      </c>
      <c r="H84" t="s">
        <v>1202</v>
      </c>
    </row>
    <row r="85" spans="1:8" x14ac:dyDescent="0.2">
      <c r="A85" s="7" t="s">
        <v>1139</v>
      </c>
      <c r="B85" s="2">
        <v>300</v>
      </c>
      <c r="E85">
        <v>89</v>
      </c>
      <c r="F85">
        <v>64</v>
      </c>
      <c r="G85">
        <v>39</v>
      </c>
      <c r="H85" t="s">
        <v>1203</v>
      </c>
    </row>
    <row r="86" spans="1:8" x14ac:dyDescent="0.2">
      <c r="A86" s="7" t="s">
        <v>1140</v>
      </c>
      <c r="B86" s="2">
        <v>307.5</v>
      </c>
      <c r="E86">
        <v>89</v>
      </c>
      <c r="F86">
        <v>45</v>
      </c>
      <c r="G86">
        <v>0</v>
      </c>
      <c r="H86" t="s">
        <v>1204</v>
      </c>
    </row>
    <row r="87" spans="1:8" x14ac:dyDescent="0.2">
      <c r="A87" s="7" t="s">
        <v>1141</v>
      </c>
      <c r="B87" s="2">
        <v>315</v>
      </c>
      <c r="E87">
        <v>29</v>
      </c>
      <c r="F87">
        <v>23</v>
      </c>
      <c r="G87">
        <v>17</v>
      </c>
      <c r="H87" t="s">
        <v>1205</v>
      </c>
    </row>
    <row r="88" spans="1:8" x14ac:dyDescent="0.2">
      <c r="A88" s="7" t="s">
        <v>1142</v>
      </c>
      <c r="B88" s="2">
        <v>322.5</v>
      </c>
      <c r="E88">
        <v>29</v>
      </c>
      <c r="F88">
        <v>14</v>
      </c>
      <c r="G88">
        <v>0</v>
      </c>
      <c r="H88" t="s">
        <v>1206</v>
      </c>
    </row>
    <row r="89" spans="1:8" x14ac:dyDescent="0.2">
      <c r="A89" s="7" t="s">
        <v>1143</v>
      </c>
      <c r="B89" s="2">
        <v>330</v>
      </c>
      <c r="E89">
        <v>255</v>
      </c>
      <c r="F89">
        <v>232</v>
      </c>
      <c r="G89">
        <v>194</v>
      </c>
      <c r="H89" t="s">
        <v>1207</v>
      </c>
    </row>
    <row r="90" spans="1:8" x14ac:dyDescent="0.2">
      <c r="A90" s="7" t="s">
        <v>1144</v>
      </c>
      <c r="B90" s="2">
        <v>337.5</v>
      </c>
      <c r="E90">
        <v>255</v>
      </c>
      <c r="F90">
        <v>219</v>
      </c>
      <c r="G90">
        <v>158</v>
      </c>
      <c r="H90" t="s">
        <v>1208</v>
      </c>
    </row>
    <row r="91" spans="1:8" x14ac:dyDescent="0.2">
      <c r="A91" s="7" t="s">
        <v>1145</v>
      </c>
      <c r="B91" s="2">
        <v>345</v>
      </c>
      <c r="E91">
        <v>255</v>
      </c>
      <c r="F91">
        <v>197</v>
      </c>
      <c r="G91">
        <v>101</v>
      </c>
      <c r="H91" t="s">
        <v>1209</v>
      </c>
    </row>
    <row r="92" spans="1:8" x14ac:dyDescent="0.2">
      <c r="A92" s="7" t="s">
        <v>1146</v>
      </c>
      <c r="B92" s="2">
        <v>352.5</v>
      </c>
      <c r="E92">
        <v>255</v>
      </c>
      <c r="F92">
        <v>159</v>
      </c>
      <c r="G92">
        <v>0</v>
      </c>
      <c r="H92" t="s">
        <v>1210</v>
      </c>
    </row>
    <row r="93" spans="1:8" x14ac:dyDescent="0.2">
      <c r="A93" s="7"/>
      <c r="E93">
        <v>231</v>
      </c>
      <c r="F93">
        <v>197</v>
      </c>
      <c r="G93">
        <v>139</v>
      </c>
      <c r="H93" t="s">
        <v>1211</v>
      </c>
    </row>
    <row r="94" spans="1:8" x14ac:dyDescent="0.2">
      <c r="A94" s="7"/>
      <c r="E94">
        <v>231</v>
      </c>
      <c r="F94">
        <v>175</v>
      </c>
      <c r="G94">
        <v>81</v>
      </c>
      <c r="H94" t="s">
        <v>1212</v>
      </c>
    </row>
    <row r="95" spans="1:8" x14ac:dyDescent="0.2">
      <c r="A95" s="7"/>
      <c r="E95">
        <v>231</v>
      </c>
      <c r="F95">
        <v>145</v>
      </c>
      <c r="G95">
        <v>0</v>
      </c>
      <c r="H95" t="s">
        <v>1213</v>
      </c>
    </row>
    <row r="96" spans="1:8" x14ac:dyDescent="0.2">
      <c r="A96" s="7"/>
      <c r="E96">
        <v>168</v>
      </c>
      <c r="F96">
        <v>133</v>
      </c>
      <c r="G96">
        <v>74</v>
      </c>
      <c r="H96" t="s">
        <v>1214</v>
      </c>
    </row>
    <row r="97" spans="1:8" x14ac:dyDescent="0.2">
      <c r="A97" s="7"/>
      <c r="E97">
        <v>168</v>
      </c>
      <c r="F97">
        <v>105</v>
      </c>
      <c r="G97">
        <v>0</v>
      </c>
      <c r="H97" t="s">
        <v>1215</v>
      </c>
    </row>
    <row r="98" spans="1:8" x14ac:dyDescent="0.2">
      <c r="A98" s="7"/>
      <c r="E98">
        <v>89</v>
      </c>
      <c r="F98">
        <v>70</v>
      </c>
      <c r="G98">
        <v>39</v>
      </c>
      <c r="H98" t="s">
        <v>1216</v>
      </c>
    </row>
    <row r="99" spans="1:8" x14ac:dyDescent="0.2">
      <c r="A99" s="7"/>
      <c r="E99">
        <v>89</v>
      </c>
      <c r="F99">
        <v>56</v>
      </c>
      <c r="G99">
        <v>0</v>
      </c>
      <c r="H99" t="s">
        <v>1217</v>
      </c>
    </row>
    <row r="100" spans="1:8" x14ac:dyDescent="0.2">
      <c r="A100" s="7"/>
      <c r="E100">
        <v>255</v>
      </c>
      <c r="F100">
        <v>248</v>
      </c>
      <c r="G100">
        <v>226</v>
      </c>
      <c r="H100" t="s">
        <v>1218</v>
      </c>
    </row>
    <row r="101" spans="1:8" x14ac:dyDescent="0.2">
      <c r="A101" s="7"/>
      <c r="E101">
        <v>255</v>
      </c>
      <c r="F101">
        <v>240</v>
      </c>
      <c r="G101">
        <v>194</v>
      </c>
      <c r="H101" t="s">
        <v>1219</v>
      </c>
    </row>
    <row r="102" spans="1:8" x14ac:dyDescent="0.2">
      <c r="A102" s="7"/>
      <c r="E102">
        <v>255</v>
      </c>
      <c r="F102">
        <v>231</v>
      </c>
      <c r="G102">
        <v>158</v>
      </c>
      <c r="H102" t="s">
        <v>1220</v>
      </c>
    </row>
    <row r="103" spans="1:8" x14ac:dyDescent="0.2">
      <c r="A103" s="7"/>
      <c r="E103">
        <v>255</v>
      </c>
      <c r="F103">
        <v>216</v>
      </c>
      <c r="G103">
        <v>101</v>
      </c>
      <c r="H103" t="s">
        <v>1221</v>
      </c>
    </row>
    <row r="104" spans="1:8" x14ac:dyDescent="0.2">
      <c r="A104" s="7"/>
      <c r="E104">
        <v>255</v>
      </c>
      <c r="F104">
        <v>191</v>
      </c>
      <c r="G104">
        <v>0</v>
      </c>
      <c r="H104" t="s">
        <v>1222</v>
      </c>
    </row>
    <row r="105" spans="1:8" x14ac:dyDescent="0.2">
      <c r="A105" s="7"/>
      <c r="E105">
        <v>231</v>
      </c>
      <c r="F105">
        <v>220</v>
      </c>
      <c r="G105">
        <v>184</v>
      </c>
      <c r="H105" t="s">
        <v>1223</v>
      </c>
    </row>
    <row r="106" spans="1:8" x14ac:dyDescent="0.2">
      <c r="A106" s="7"/>
      <c r="E106">
        <v>231</v>
      </c>
      <c r="F106">
        <v>208</v>
      </c>
      <c r="G106">
        <v>139</v>
      </c>
      <c r="H106" t="s">
        <v>1224</v>
      </c>
    </row>
    <row r="107" spans="1:8" x14ac:dyDescent="0.2">
      <c r="A107" s="7"/>
      <c r="E107">
        <v>231</v>
      </c>
      <c r="F107">
        <v>194</v>
      </c>
      <c r="G107">
        <v>81</v>
      </c>
      <c r="H107" t="s">
        <v>1225</v>
      </c>
    </row>
    <row r="108" spans="1:8" x14ac:dyDescent="0.2">
      <c r="A108" s="7"/>
      <c r="E108">
        <v>231</v>
      </c>
      <c r="F108">
        <v>174</v>
      </c>
      <c r="G108">
        <v>0</v>
      </c>
      <c r="H108" t="s">
        <v>1226</v>
      </c>
    </row>
    <row r="109" spans="1:8" x14ac:dyDescent="0.2">
      <c r="A109" s="7"/>
      <c r="E109">
        <v>168</v>
      </c>
      <c r="F109">
        <v>158</v>
      </c>
      <c r="G109">
        <v>125</v>
      </c>
      <c r="H109" t="s">
        <v>1227</v>
      </c>
    </row>
    <row r="110" spans="1:8" x14ac:dyDescent="0.2">
      <c r="A110" s="7"/>
      <c r="E110">
        <v>168</v>
      </c>
      <c r="F110">
        <v>145</v>
      </c>
      <c r="G110">
        <v>74</v>
      </c>
      <c r="H110" t="s">
        <v>1228</v>
      </c>
    </row>
    <row r="111" spans="1:8" x14ac:dyDescent="0.2">
      <c r="A111" s="7"/>
      <c r="E111">
        <v>168</v>
      </c>
      <c r="F111">
        <v>126</v>
      </c>
      <c r="G111">
        <v>0</v>
      </c>
      <c r="H111" t="s">
        <v>1229</v>
      </c>
    </row>
    <row r="112" spans="1:8" x14ac:dyDescent="0.2">
      <c r="A112" s="7"/>
      <c r="E112">
        <v>89</v>
      </c>
      <c r="F112">
        <v>84</v>
      </c>
      <c r="G112">
        <v>66</v>
      </c>
      <c r="H112" t="s">
        <v>1230</v>
      </c>
    </row>
    <row r="113" spans="5:8" x14ac:dyDescent="0.2">
      <c r="E113">
        <v>89</v>
      </c>
      <c r="F113">
        <v>77</v>
      </c>
      <c r="G113">
        <v>39</v>
      </c>
      <c r="H113" t="s">
        <v>1231</v>
      </c>
    </row>
    <row r="114" spans="5:8" x14ac:dyDescent="0.2">
      <c r="E114">
        <v>89</v>
      </c>
      <c r="F114">
        <v>67</v>
      </c>
      <c r="G114">
        <v>0</v>
      </c>
      <c r="H114" t="s">
        <v>1232</v>
      </c>
    </row>
    <row r="115" spans="5:8" x14ac:dyDescent="0.2">
      <c r="E115">
        <v>255</v>
      </c>
      <c r="F115">
        <v>247</v>
      </c>
      <c r="G115">
        <v>194</v>
      </c>
      <c r="H115" t="s">
        <v>1233</v>
      </c>
    </row>
    <row r="116" spans="5:8" x14ac:dyDescent="0.2">
      <c r="E116">
        <v>255</v>
      </c>
      <c r="F116">
        <v>243</v>
      </c>
      <c r="G116">
        <v>158</v>
      </c>
      <c r="H116" t="s">
        <v>1234</v>
      </c>
    </row>
    <row r="117" spans="5:8" x14ac:dyDescent="0.2">
      <c r="E117">
        <v>255</v>
      </c>
      <c r="F117">
        <v>236</v>
      </c>
      <c r="G117">
        <v>101</v>
      </c>
      <c r="H117" t="s">
        <v>1235</v>
      </c>
    </row>
    <row r="118" spans="5:8" x14ac:dyDescent="0.2">
      <c r="E118">
        <v>255</v>
      </c>
      <c r="F118">
        <v>223</v>
      </c>
      <c r="G118">
        <v>0</v>
      </c>
      <c r="H118" t="s">
        <v>1236</v>
      </c>
    </row>
    <row r="119" spans="5:8" x14ac:dyDescent="0.2">
      <c r="E119">
        <v>231</v>
      </c>
      <c r="F119">
        <v>220</v>
      </c>
      <c r="G119">
        <v>139</v>
      </c>
      <c r="H119" t="s">
        <v>1237</v>
      </c>
    </row>
    <row r="120" spans="5:8" x14ac:dyDescent="0.2">
      <c r="E120">
        <v>231</v>
      </c>
      <c r="F120">
        <v>213</v>
      </c>
      <c r="G120">
        <v>81</v>
      </c>
      <c r="H120" t="s">
        <v>1238</v>
      </c>
    </row>
    <row r="121" spans="5:8" x14ac:dyDescent="0.2">
      <c r="E121">
        <v>231</v>
      </c>
      <c r="F121">
        <v>202</v>
      </c>
      <c r="G121">
        <v>0</v>
      </c>
      <c r="H121" t="s">
        <v>1239</v>
      </c>
    </row>
    <row r="122" spans="5:8" x14ac:dyDescent="0.2">
      <c r="E122">
        <v>168</v>
      </c>
      <c r="F122">
        <v>156</v>
      </c>
      <c r="G122">
        <v>74</v>
      </c>
      <c r="H122" t="s">
        <v>1240</v>
      </c>
    </row>
    <row r="123" spans="5:8" x14ac:dyDescent="0.2">
      <c r="E123">
        <v>168</v>
      </c>
      <c r="F123">
        <v>147</v>
      </c>
      <c r="G123">
        <v>0</v>
      </c>
      <c r="H123" t="s">
        <v>1241</v>
      </c>
    </row>
    <row r="124" spans="5:8" x14ac:dyDescent="0.2">
      <c r="E124">
        <v>89</v>
      </c>
      <c r="F124">
        <v>83</v>
      </c>
      <c r="G124">
        <v>39</v>
      </c>
      <c r="H124" t="s">
        <v>1242</v>
      </c>
    </row>
    <row r="125" spans="5:8" x14ac:dyDescent="0.2">
      <c r="E125">
        <v>89</v>
      </c>
      <c r="F125">
        <v>78</v>
      </c>
      <c r="G125">
        <v>0</v>
      </c>
      <c r="H125" t="s">
        <v>1243</v>
      </c>
    </row>
    <row r="126" spans="5:8" x14ac:dyDescent="0.2">
      <c r="E126">
        <v>255</v>
      </c>
      <c r="F126">
        <v>255</v>
      </c>
      <c r="G126">
        <v>246</v>
      </c>
      <c r="H126" t="s">
        <v>1244</v>
      </c>
    </row>
    <row r="127" spans="5:8" x14ac:dyDescent="0.2">
      <c r="E127">
        <v>255</v>
      </c>
      <c r="F127">
        <v>255</v>
      </c>
      <c r="G127">
        <v>226</v>
      </c>
      <c r="H127" t="s">
        <v>1245</v>
      </c>
    </row>
    <row r="128" spans="5:8" x14ac:dyDescent="0.2">
      <c r="E128">
        <v>255</v>
      </c>
      <c r="F128">
        <v>255</v>
      </c>
      <c r="G128">
        <v>194</v>
      </c>
      <c r="H128" t="s">
        <v>1246</v>
      </c>
    </row>
    <row r="129" spans="5:8" x14ac:dyDescent="0.2">
      <c r="E129">
        <v>255</v>
      </c>
      <c r="F129">
        <v>255</v>
      </c>
      <c r="G129">
        <v>158</v>
      </c>
      <c r="H129" t="s">
        <v>1247</v>
      </c>
    </row>
    <row r="130" spans="5:8" x14ac:dyDescent="0.2">
      <c r="E130">
        <v>255</v>
      </c>
      <c r="F130">
        <v>255</v>
      </c>
      <c r="G130">
        <v>101</v>
      </c>
      <c r="H130" t="s">
        <v>1248</v>
      </c>
    </row>
    <row r="131" spans="5:8" x14ac:dyDescent="0.2">
      <c r="E131">
        <v>255</v>
      </c>
      <c r="F131">
        <v>255</v>
      </c>
      <c r="G131">
        <v>0</v>
      </c>
      <c r="H131" t="s">
        <v>1249</v>
      </c>
    </row>
    <row r="132" spans="5:8" x14ac:dyDescent="0.2">
      <c r="E132">
        <v>231</v>
      </c>
      <c r="F132">
        <v>231</v>
      </c>
      <c r="G132">
        <v>218</v>
      </c>
      <c r="H132" t="s">
        <v>1250</v>
      </c>
    </row>
    <row r="133" spans="5:8" x14ac:dyDescent="0.2">
      <c r="E133">
        <v>231</v>
      </c>
      <c r="F133">
        <v>231</v>
      </c>
      <c r="G133">
        <v>184</v>
      </c>
      <c r="H133" t="s">
        <v>1251</v>
      </c>
    </row>
    <row r="134" spans="5:8" x14ac:dyDescent="0.2">
      <c r="E134">
        <v>231</v>
      </c>
      <c r="F134">
        <v>231</v>
      </c>
      <c r="G134">
        <v>139</v>
      </c>
      <c r="H134" t="s">
        <v>1252</v>
      </c>
    </row>
    <row r="135" spans="5:8" x14ac:dyDescent="0.2">
      <c r="E135">
        <v>231</v>
      </c>
      <c r="F135">
        <v>231</v>
      </c>
      <c r="G135">
        <v>81</v>
      </c>
      <c r="H135" t="s">
        <v>1253</v>
      </c>
    </row>
    <row r="136" spans="5:8" x14ac:dyDescent="0.2">
      <c r="E136">
        <v>231</v>
      </c>
      <c r="F136">
        <v>231</v>
      </c>
      <c r="G136">
        <v>0</v>
      </c>
      <c r="H136" t="s">
        <v>1254</v>
      </c>
    </row>
    <row r="137" spans="5:8" x14ac:dyDescent="0.2">
      <c r="E137">
        <v>168</v>
      </c>
      <c r="F137">
        <v>168</v>
      </c>
      <c r="G137">
        <v>156</v>
      </c>
      <c r="H137" t="s">
        <v>1255</v>
      </c>
    </row>
    <row r="138" spans="5:8" x14ac:dyDescent="0.2">
      <c r="E138">
        <v>168</v>
      </c>
      <c r="F138">
        <v>168</v>
      </c>
      <c r="G138">
        <v>125</v>
      </c>
      <c r="H138" t="s">
        <v>1256</v>
      </c>
    </row>
    <row r="139" spans="5:8" x14ac:dyDescent="0.2">
      <c r="E139">
        <v>168</v>
      </c>
      <c r="F139">
        <v>168</v>
      </c>
      <c r="G139">
        <v>74</v>
      </c>
      <c r="H139" t="s">
        <v>1257</v>
      </c>
    </row>
    <row r="140" spans="5:8" x14ac:dyDescent="0.2">
      <c r="E140">
        <v>168</v>
      </c>
      <c r="F140">
        <v>168</v>
      </c>
      <c r="G140">
        <v>0</v>
      </c>
      <c r="H140" t="s">
        <v>1258</v>
      </c>
    </row>
    <row r="141" spans="5:8" x14ac:dyDescent="0.2">
      <c r="E141">
        <v>89</v>
      </c>
      <c r="F141">
        <v>89</v>
      </c>
      <c r="G141">
        <v>83</v>
      </c>
      <c r="H141" t="s">
        <v>1259</v>
      </c>
    </row>
    <row r="142" spans="5:8" x14ac:dyDescent="0.2">
      <c r="E142">
        <v>89</v>
      </c>
      <c r="F142">
        <v>89</v>
      </c>
      <c r="G142">
        <v>66</v>
      </c>
      <c r="H142" t="s">
        <v>1260</v>
      </c>
    </row>
    <row r="143" spans="5:8" x14ac:dyDescent="0.2">
      <c r="E143">
        <v>89</v>
      </c>
      <c r="F143">
        <v>89</v>
      </c>
      <c r="G143">
        <v>39</v>
      </c>
      <c r="H143" t="s">
        <v>1261</v>
      </c>
    </row>
    <row r="144" spans="5:8" x14ac:dyDescent="0.2">
      <c r="E144">
        <v>89</v>
      </c>
      <c r="F144">
        <v>89</v>
      </c>
      <c r="G144">
        <v>0</v>
      </c>
      <c r="H144" t="s">
        <v>1262</v>
      </c>
    </row>
    <row r="145" spans="5:8" x14ac:dyDescent="0.2">
      <c r="E145">
        <v>29</v>
      </c>
      <c r="F145">
        <v>29</v>
      </c>
      <c r="G145">
        <v>26</v>
      </c>
      <c r="H145" t="s">
        <v>1263</v>
      </c>
    </row>
    <row r="146" spans="5:8" x14ac:dyDescent="0.2">
      <c r="E146">
        <v>29</v>
      </c>
      <c r="F146">
        <v>29</v>
      </c>
      <c r="G146">
        <v>17</v>
      </c>
      <c r="H146" t="s">
        <v>1264</v>
      </c>
    </row>
    <row r="147" spans="5:8" x14ac:dyDescent="0.2">
      <c r="E147">
        <v>29</v>
      </c>
      <c r="F147">
        <v>29</v>
      </c>
      <c r="G147">
        <v>0</v>
      </c>
      <c r="H147" t="s">
        <v>1265</v>
      </c>
    </row>
    <row r="148" spans="5:8" x14ac:dyDescent="0.2">
      <c r="E148">
        <v>247</v>
      </c>
      <c r="F148">
        <v>255</v>
      </c>
      <c r="G148">
        <v>194</v>
      </c>
      <c r="H148" t="s">
        <v>1266</v>
      </c>
    </row>
    <row r="149" spans="5:8" x14ac:dyDescent="0.2">
      <c r="E149">
        <v>243</v>
      </c>
      <c r="F149">
        <v>255</v>
      </c>
      <c r="G149">
        <v>158</v>
      </c>
      <c r="H149" t="s">
        <v>1267</v>
      </c>
    </row>
    <row r="150" spans="5:8" x14ac:dyDescent="0.2">
      <c r="E150">
        <v>236</v>
      </c>
      <c r="F150">
        <v>255</v>
      </c>
      <c r="G150">
        <v>101</v>
      </c>
      <c r="H150" t="s">
        <v>1268</v>
      </c>
    </row>
    <row r="151" spans="5:8" x14ac:dyDescent="0.2">
      <c r="E151">
        <v>223</v>
      </c>
      <c r="F151">
        <v>255</v>
      </c>
      <c r="G151">
        <v>0</v>
      </c>
      <c r="H151" t="s">
        <v>1269</v>
      </c>
    </row>
    <row r="152" spans="5:8" x14ac:dyDescent="0.2">
      <c r="E152">
        <v>220</v>
      </c>
      <c r="F152">
        <v>231</v>
      </c>
      <c r="G152">
        <v>139</v>
      </c>
      <c r="H152" t="s">
        <v>1270</v>
      </c>
    </row>
    <row r="153" spans="5:8" x14ac:dyDescent="0.2">
      <c r="E153">
        <v>213</v>
      </c>
      <c r="F153">
        <v>231</v>
      </c>
      <c r="G153">
        <v>81</v>
      </c>
      <c r="H153" t="s">
        <v>1271</v>
      </c>
    </row>
    <row r="154" spans="5:8" x14ac:dyDescent="0.2">
      <c r="E154">
        <v>202</v>
      </c>
      <c r="F154">
        <v>231</v>
      </c>
      <c r="G154">
        <v>0</v>
      </c>
      <c r="H154" t="s">
        <v>1272</v>
      </c>
    </row>
    <row r="155" spans="5:8" x14ac:dyDescent="0.2">
      <c r="E155">
        <v>156</v>
      </c>
      <c r="F155">
        <v>168</v>
      </c>
      <c r="G155">
        <v>74</v>
      </c>
      <c r="H155" t="s">
        <v>1273</v>
      </c>
    </row>
    <row r="156" spans="5:8" x14ac:dyDescent="0.2">
      <c r="E156">
        <v>147</v>
      </c>
      <c r="F156">
        <v>168</v>
      </c>
      <c r="G156">
        <v>0</v>
      </c>
      <c r="H156" t="s">
        <v>1274</v>
      </c>
    </row>
    <row r="157" spans="5:8" x14ac:dyDescent="0.2">
      <c r="E157">
        <v>83</v>
      </c>
      <c r="F157">
        <v>89</v>
      </c>
      <c r="G157">
        <v>39</v>
      </c>
      <c r="H157" t="s">
        <v>1275</v>
      </c>
    </row>
    <row r="158" spans="5:8" x14ac:dyDescent="0.2">
      <c r="E158">
        <v>78</v>
      </c>
      <c r="F158">
        <v>89</v>
      </c>
      <c r="G158">
        <v>0</v>
      </c>
      <c r="H158" t="s">
        <v>1276</v>
      </c>
    </row>
    <row r="159" spans="5:8" x14ac:dyDescent="0.2">
      <c r="E159">
        <v>248</v>
      </c>
      <c r="F159">
        <v>255</v>
      </c>
      <c r="G159">
        <v>226</v>
      </c>
      <c r="H159" t="s">
        <v>1277</v>
      </c>
    </row>
    <row r="160" spans="5:8" x14ac:dyDescent="0.2">
      <c r="E160">
        <v>240</v>
      </c>
      <c r="F160">
        <v>255</v>
      </c>
      <c r="G160">
        <v>194</v>
      </c>
      <c r="H160" t="s">
        <v>1278</v>
      </c>
    </row>
    <row r="161" spans="5:8" x14ac:dyDescent="0.2">
      <c r="E161">
        <v>231</v>
      </c>
      <c r="F161">
        <v>255</v>
      </c>
      <c r="G161">
        <v>158</v>
      </c>
      <c r="H161" t="s">
        <v>1279</v>
      </c>
    </row>
    <row r="162" spans="5:8" x14ac:dyDescent="0.2">
      <c r="E162">
        <v>216</v>
      </c>
      <c r="F162">
        <v>255</v>
      </c>
      <c r="G162">
        <v>101</v>
      </c>
      <c r="H162" t="s">
        <v>1280</v>
      </c>
    </row>
    <row r="163" spans="5:8" x14ac:dyDescent="0.2">
      <c r="E163">
        <v>191</v>
      </c>
      <c r="F163">
        <v>255</v>
      </c>
      <c r="G163">
        <v>0</v>
      </c>
      <c r="H163" t="s">
        <v>1281</v>
      </c>
    </row>
    <row r="164" spans="5:8" x14ac:dyDescent="0.2">
      <c r="E164">
        <v>220</v>
      </c>
      <c r="F164">
        <v>231</v>
      </c>
      <c r="G164">
        <v>184</v>
      </c>
      <c r="H164" t="s">
        <v>1282</v>
      </c>
    </row>
    <row r="165" spans="5:8" x14ac:dyDescent="0.2">
      <c r="E165">
        <v>208</v>
      </c>
      <c r="F165">
        <v>231</v>
      </c>
      <c r="G165">
        <v>139</v>
      </c>
      <c r="H165" t="s">
        <v>1283</v>
      </c>
    </row>
    <row r="166" spans="5:8" x14ac:dyDescent="0.2">
      <c r="E166">
        <v>194</v>
      </c>
      <c r="F166">
        <v>231</v>
      </c>
      <c r="G166">
        <v>81</v>
      </c>
      <c r="H166" t="s">
        <v>1284</v>
      </c>
    </row>
    <row r="167" spans="5:8" x14ac:dyDescent="0.2">
      <c r="E167">
        <v>174</v>
      </c>
      <c r="F167">
        <v>231</v>
      </c>
      <c r="G167">
        <v>0</v>
      </c>
      <c r="H167" t="s">
        <v>1285</v>
      </c>
    </row>
    <row r="168" spans="5:8" x14ac:dyDescent="0.2">
      <c r="E168">
        <v>158</v>
      </c>
      <c r="F168">
        <v>168</v>
      </c>
      <c r="G168">
        <v>125</v>
      </c>
      <c r="H168" t="s">
        <v>1286</v>
      </c>
    </row>
    <row r="169" spans="5:8" x14ac:dyDescent="0.2">
      <c r="E169">
        <v>145</v>
      </c>
      <c r="F169">
        <v>168</v>
      </c>
      <c r="G169">
        <v>74</v>
      </c>
      <c r="H169" t="s">
        <v>1287</v>
      </c>
    </row>
    <row r="170" spans="5:8" x14ac:dyDescent="0.2">
      <c r="E170">
        <v>126</v>
      </c>
      <c r="F170">
        <v>168</v>
      </c>
      <c r="G170">
        <v>0</v>
      </c>
      <c r="H170" t="s">
        <v>1288</v>
      </c>
    </row>
    <row r="171" spans="5:8" x14ac:dyDescent="0.2">
      <c r="E171">
        <v>84</v>
      </c>
      <c r="F171">
        <v>89</v>
      </c>
      <c r="G171">
        <v>66</v>
      </c>
      <c r="H171" t="s">
        <v>1289</v>
      </c>
    </row>
    <row r="172" spans="5:8" x14ac:dyDescent="0.2">
      <c r="E172">
        <v>77</v>
      </c>
      <c r="F172">
        <v>89</v>
      </c>
      <c r="G172">
        <v>39</v>
      </c>
      <c r="H172" t="s">
        <v>1290</v>
      </c>
    </row>
    <row r="173" spans="5:8" x14ac:dyDescent="0.2">
      <c r="E173">
        <v>67</v>
      </c>
      <c r="F173">
        <v>89</v>
      </c>
      <c r="G173">
        <v>0</v>
      </c>
      <c r="H173" t="s">
        <v>1291</v>
      </c>
    </row>
    <row r="174" spans="5:8" x14ac:dyDescent="0.2">
      <c r="E174">
        <v>232</v>
      </c>
      <c r="F174">
        <v>255</v>
      </c>
      <c r="G174">
        <v>194</v>
      </c>
      <c r="H174" t="s">
        <v>1292</v>
      </c>
    </row>
    <row r="175" spans="5:8" x14ac:dyDescent="0.2">
      <c r="E175">
        <v>219</v>
      </c>
      <c r="F175">
        <v>255</v>
      </c>
      <c r="G175">
        <v>158</v>
      </c>
      <c r="H175" t="s">
        <v>1293</v>
      </c>
    </row>
    <row r="176" spans="5:8" x14ac:dyDescent="0.2">
      <c r="E176">
        <v>197</v>
      </c>
      <c r="F176">
        <v>255</v>
      </c>
      <c r="G176">
        <v>101</v>
      </c>
      <c r="H176" t="s">
        <v>1294</v>
      </c>
    </row>
    <row r="177" spans="5:8" x14ac:dyDescent="0.2">
      <c r="E177">
        <v>159</v>
      </c>
      <c r="F177">
        <v>255</v>
      </c>
      <c r="G177">
        <v>0</v>
      </c>
      <c r="H177" t="s">
        <v>1295</v>
      </c>
    </row>
    <row r="178" spans="5:8" x14ac:dyDescent="0.2">
      <c r="E178">
        <v>197</v>
      </c>
      <c r="F178">
        <v>231</v>
      </c>
      <c r="G178">
        <v>139</v>
      </c>
      <c r="H178" t="s">
        <v>1296</v>
      </c>
    </row>
    <row r="179" spans="5:8" x14ac:dyDescent="0.2">
      <c r="E179">
        <v>175</v>
      </c>
      <c r="F179">
        <v>231</v>
      </c>
      <c r="G179">
        <v>81</v>
      </c>
      <c r="H179" t="s">
        <v>1297</v>
      </c>
    </row>
    <row r="180" spans="5:8" x14ac:dyDescent="0.2">
      <c r="E180">
        <v>145</v>
      </c>
      <c r="F180">
        <v>231</v>
      </c>
      <c r="G180">
        <v>0</v>
      </c>
      <c r="H180" t="s">
        <v>1298</v>
      </c>
    </row>
    <row r="181" spans="5:8" x14ac:dyDescent="0.2">
      <c r="E181">
        <v>133</v>
      </c>
      <c r="F181">
        <v>168</v>
      </c>
      <c r="G181">
        <v>74</v>
      </c>
      <c r="H181" t="s">
        <v>1299</v>
      </c>
    </row>
    <row r="182" spans="5:8" x14ac:dyDescent="0.2">
      <c r="E182">
        <v>105</v>
      </c>
      <c r="F182">
        <v>168</v>
      </c>
      <c r="G182">
        <v>0</v>
      </c>
      <c r="H182" t="s">
        <v>1300</v>
      </c>
    </row>
    <row r="183" spans="5:8" x14ac:dyDescent="0.2">
      <c r="E183">
        <v>70</v>
      </c>
      <c r="F183">
        <v>89</v>
      </c>
      <c r="G183">
        <v>39</v>
      </c>
      <c r="H183" t="s">
        <v>1301</v>
      </c>
    </row>
    <row r="184" spans="5:8" x14ac:dyDescent="0.2">
      <c r="E184">
        <v>56</v>
      </c>
      <c r="F184">
        <v>89</v>
      </c>
      <c r="G184">
        <v>0</v>
      </c>
      <c r="H184" t="s">
        <v>1302</v>
      </c>
    </row>
    <row r="185" spans="5:8" x14ac:dyDescent="0.2">
      <c r="E185">
        <v>240</v>
      </c>
      <c r="F185">
        <v>255</v>
      </c>
      <c r="G185">
        <v>226</v>
      </c>
      <c r="H185" t="s">
        <v>1303</v>
      </c>
    </row>
    <row r="186" spans="5:8" x14ac:dyDescent="0.2">
      <c r="E186">
        <v>224</v>
      </c>
      <c r="F186">
        <v>255</v>
      </c>
      <c r="G186">
        <v>194</v>
      </c>
      <c r="H186" t="s">
        <v>1304</v>
      </c>
    </row>
    <row r="187" spans="5:8" x14ac:dyDescent="0.2">
      <c r="E187">
        <v>207</v>
      </c>
      <c r="F187">
        <v>255</v>
      </c>
      <c r="G187">
        <v>158</v>
      </c>
      <c r="H187" t="s">
        <v>1305</v>
      </c>
    </row>
    <row r="188" spans="5:8" x14ac:dyDescent="0.2">
      <c r="E188">
        <v>178</v>
      </c>
      <c r="F188">
        <v>255</v>
      </c>
      <c r="G188">
        <v>101</v>
      </c>
      <c r="H188" t="s">
        <v>1306</v>
      </c>
    </row>
    <row r="189" spans="5:8" x14ac:dyDescent="0.2">
      <c r="E189">
        <v>128</v>
      </c>
      <c r="F189">
        <v>255</v>
      </c>
      <c r="G189">
        <v>0</v>
      </c>
      <c r="H189" t="s">
        <v>1307</v>
      </c>
    </row>
    <row r="190" spans="5:8" x14ac:dyDescent="0.2">
      <c r="E190">
        <v>208</v>
      </c>
      <c r="F190">
        <v>231</v>
      </c>
      <c r="G190">
        <v>184</v>
      </c>
      <c r="H190" t="s">
        <v>1308</v>
      </c>
    </row>
    <row r="191" spans="5:8" x14ac:dyDescent="0.2">
      <c r="E191">
        <v>185</v>
      </c>
      <c r="F191">
        <v>231</v>
      </c>
      <c r="G191">
        <v>139</v>
      </c>
      <c r="H191" t="s">
        <v>1309</v>
      </c>
    </row>
    <row r="192" spans="5:8" x14ac:dyDescent="0.2">
      <c r="E192">
        <v>156</v>
      </c>
      <c r="F192">
        <v>231</v>
      </c>
      <c r="G192">
        <v>81</v>
      </c>
      <c r="H192" t="s">
        <v>1310</v>
      </c>
    </row>
    <row r="193" spans="5:8" x14ac:dyDescent="0.2">
      <c r="E193">
        <v>116</v>
      </c>
      <c r="F193">
        <v>231</v>
      </c>
      <c r="G193">
        <v>0</v>
      </c>
      <c r="H193" t="s">
        <v>1311</v>
      </c>
    </row>
    <row r="194" spans="5:8" x14ac:dyDescent="0.2">
      <c r="E194">
        <v>147</v>
      </c>
      <c r="F194">
        <v>168</v>
      </c>
      <c r="G194">
        <v>125</v>
      </c>
      <c r="H194" t="s">
        <v>1312</v>
      </c>
    </row>
    <row r="195" spans="5:8" x14ac:dyDescent="0.2">
      <c r="E195">
        <v>121</v>
      </c>
      <c r="F195">
        <v>168</v>
      </c>
      <c r="G195">
        <v>74</v>
      </c>
      <c r="H195" t="s">
        <v>1313</v>
      </c>
    </row>
    <row r="196" spans="5:8" x14ac:dyDescent="0.2">
      <c r="E196">
        <v>84</v>
      </c>
      <c r="F196">
        <v>168</v>
      </c>
      <c r="G196">
        <v>0</v>
      </c>
      <c r="H196" t="s">
        <v>1314</v>
      </c>
    </row>
    <row r="197" spans="5:8" x14ac:dyDescent="0.2">
      <c r="E197">
        <v>78</v>
      </c>
      <c r="F197">
        <v>89</v>
      </c>
      <c r="G197">
        <v>66</v>
      </c>
      <c r="H197" t="s">
        <v>1315</v>
      </c>
    </row>
    <row r="198" spans="5:8" x14ac:dyDescent="0.2">
      <c r="E198">
        <v>64</v>
      </c>
      <c r="F198">
        <v>89</v>
      </c>
      <c r="G198">
        <v>39</v>
      </c>
      <c r="H198" t="s">
        <v>1316</v>
      </c>
    </row>
    <row r="199" spans="5:8" x14ac:dyDescent="0.2">
      <c r="E199">
        <v>45</v>
      </c>
      <c r="F199">
        <v>89</v>
      </c>
      <c r="G199">
        <v>0</v>
      </c>
      <c r="H199" t="s">
        <v>1317</v>
      </c>
    </row>
    <row r="200" spans="5:8" x14ac:dyDescent="0.2">
      <c r="E200">
        <v>23</v>
      </c>
      <c r="F200">
        <v>29</v>
      </c>
      <c r="G200">
        <v>17</v>
      </c>
      <c r="H200" t="s">
        <v>1318</v>
      </c>
    </row>
    <row r="201" spans="5:8" x14ac:dyDescent="0.2">
      <c r="E201">
        <v>14</v>
      </c>
      <c r="F201">
        <v>29</v>
      </c>
      <c r="G201">
        <v>0</v>
      </c>
      <c r="H201" t="s">
        <v>1319</v>
      </c>
    </row>
    <row r="202" spans="5:8" x14ac:dyDescent="0.2">
      <c r="E202">
        <v>217</v>
      </c>
      <c r="F202">
        <v>255</v>
      </c>
      <c r="G202">
        <v>194</v>
      </c>
      <c r="H202" t="s">
        <v>1320</v>
      </c>
    </row>
    <row r="203" spans="5:8" x14ac:dyDescent="0.2">
      <c r="E203">
        <v>194</v>
      </c>
      <c r="F203">
        <v>255</v>
      </c>
      <c r="G203">
        <v>158</v>
      </c>
      <c r="H203" t="s">
        <v>1321</v>
      </c>
    </row>
    <row r="204" spans="5:8" x14ac:dyDescent="0.2">
      <c r="E204">
        <v>159</v>
      </c>
      <c r="F204">
        <v>255</v>
      </c>
      <c r="G204">
        <v>101</v>
      </c>
      <c r="H204" t="s">
        <v>1322</v>
      </c>
    </row>
    <row r="205" spans="5:8" x14ac:dyDescent="0.2">
      <c r="E205">
        <v>96</v>
      </c>
      <c r="F205">
        <v>255</v>
      </c>
      <c r="G205">
        <v>0</v>
      </c>
      <c r="H205" t="s">
        <v>1323</v>
      </c>
    </row>
    <row r="206" spans="5:8" x14ac:dyDescent="0.2">
      <c r="E206">
        <v>174</v>
      </c>
      <c r="F206">
        <v>231</v>
      </c>
      <c r="G206">
        <v>139</v>
      </c>
      <c r="H206" t="s">
        <v>1324</v>
      </c>
    </row>
    <row r="207" spans="5:8" x14ac:dyDescent="0.2">
      <c r="E207">
        <v>137</v>
      </c>
      <c r="F207">
        <v>231</v>
      </c>
      <c r="G207">
        <v>81</v>
      </c>
      <c r="H207" t="s">
        <v>1325</v>
      </c>
    </row>
    <row r="208" spans="5:8" x14ac:dyDescent="0.2">
      <c r="E208">
        <v>87</v>
      </c>
      <c r="F208">
        <v>231</v>
      </c>
      <c r="G208">
        <v>0</v>
      </c>
      <c r="H208" t="s">
        <v>1326</v>
      </c>
    </row>
    <row r="209" spans="5:8" x14ac:dyDescent="0.2">
      <c r="E209">
        <v>109</v>
      </c>
      <c r="F209">
        <v>168</v>
      </c>
      <c r="G209">
        <v>74</v>
      </c>
      <c r="H209" t="s">
        <v>1327</v>
      </c>
    </row>
    <row r="210" spans="5:8" x14ac:dyDescent="0.2">
      <c r="E210">
        <v>63</v>
      </c>
      <c r="F210">
        <v>168</v>
      </c>
      <c r="G210">
        <v>0</v>
      </c>
      <c r="H210" t="s">
        <v>1328</v>
      </c>
    </row>
    <row r="211" spans="5:8" x14ac:dyDescent="0.2">
      <c r="E211">
        <v>58</v>
      </c>
      <c r="F211">
        <v>89</v>
      </c>
      <c r="G211">
        <v>39</v>
      </c>
      <c r="H211" t="s">
        <v>1329</v>
      </c>
    </row>
    <row r="212" spans="5:8" x14ac:dyDescent="0.2">
      <c r="E212">
        <v>33</v>
      </c>
      <c r="F212">
        <v>89</v>
      </c>
      <c r="G212">
        <v>0</v>
      </c>
      <c r="H212" t="s">
        <v>1330</v>
      </c>
    </row>
    <row r="213" spans="5:8" x14ac:dyDescent="0.2">
      <c r="E213">
        <v>233</v>
      </c>
      <c r="F213">
        <v>255</v>
      </c>
      <c r="G213">
        <v>226</v>
      </c>
      <c r="H213" t="s">
        <v>1331</v>
      </c>
    </row>
    <row r="214" spans="5:8" x14ac:dyDescent="0.2">
      <c r="E214">
        <v>209</v>
      </c>
      <c r="F214">
        <v>255</v>
      </c>
      <c r="G214">
        <v>194</v>
      </c>
      <c r="H214" t="s">
        <v>1332</v>
      </c>
    </row>
    <row r="215" spans="5:8" x14ac:dyDescent="0.2">
      <c r="E215">
        <v>182</v>
      </c>
      <c r="F215">
        <v>255</v>
      </c>
      <c r="G215">
        <v>158</v>
      </c>
      <c r="H215" t="s">
        <v>1333</v>
      </c>
    </row>
    <row r="216" spans="5:8" x14ac:dyDescent="0.2">
      <c r="E216">
        <v>139</v>
      </c>
      <c r="F216">
        <v>255</v>
      </c>
      <c r="G216">
        <v>101</v>
      </c>
      <c r="H216" t="s">
        <v>1334</v>
      </c>
    </row>
    <row r="217" spans="5:8" x14ac:dyDescent="0.2">
      <c r="E217">
        <v>64</v>
      </c>
      <c r="F217">
        <v>255</v>
      </c>
      <c r="G217">
        <v>0</v>
      </c>
      <c r="H217" t="s">
        <v>1335</v>
      </c>
    </row>
    <row r="218" spans="5:8" x14ac:dyDescent="0.2">
      <c r="E218">
        <v>196</v>
      </c>
      <c r="F218">
        <v>231</v>
      </c>
      <c r="G218">
        <v>184</v>
      </c>
      <c r="H218" t="s">
        <v>1336</v>
      </c>
    </row>
    <row r="219" spans="5:8" x14ac:dyDescent="0.2">
      <c r="E219">
        <v>162</v>
      </c>
      <c r="F219">
        <v>231</v>
      </c>
      <c r="G219">
        <v>139</v>
      </c>
      <c r="H219" t="s">
        <v>1337</v>
      </c>
    </row>
    <row r="220" spans="5:8" x14ac:dyDescent="0.2">
      <c r="E220">
        <v>119</v>
      </c>
      <c r="F220">
        <v>231</v>
      </c>
      <c r="G220">
        <v>81</v>
      </c>
      <c r="H220" t="s">
        <v>1338</v>
      </c>
    </row>
    <row r="221" spans="5:8" x14ac:dyDescent="0.2">
      <c r="E221">
        <v>58</v>
      </c>
      <c r="F221">
        <v>231</v>
      </c>
      <c r="G221">
        <v>0</v>
      </c>
      <c r="H221" t="s">
        <v>1339</v>
      </c>
    </row>
    <row r="222" spans="5:8" x14ac:dyDescent="0.2">
      <c r="E222">
        <v>136</v>
      </c>
      <c r="F222">
        <v>168</v>
      </c>
      <c r="G222">
        <v>125</v>
      </c>
      <c r="H222" t="s">
        <v>1340</v>
      </c>
    </row>
    <row r="223" spans="5:8" x14ac:dyDescent="0.2">
      <c r="E223">
        <v>97</v>
      </c>
      <c r="F223">
        <v>168</v>
      </c>
      <c r="G223">
        <v>74</v>
      </c>
      <c r="H223" t="s">
        <v>1341</v>
      </c>
    </row>
    <row r="224" spans="5:8" x14ac:dyDescent="0.2">
      <c r="E224">
        <v>42</v>
      </c>
      <c r="F224">
        <v>168</v>
      </c>
      <c r="G224">
        <v>0</v>
      </c>
      <c r="H224" t="s">
        <v>1342</v>
      </c>
    </row>
    <row r="225" spans="5:8" x14ac:dyDescent="0.2">
      <c r="E225">
        <v>72</v>
      </c>
      <c r="F225">
        <v>89</v>
      </c>
      <c r="G225">
        <v>66</v>
      </c>
      <c r="H225" t="s">
        <v>1343</v>
      </c>
    </row>
    <row r="226" spans="5:8" x14ac:dyDescent="0.2">
      <c r="E226">
        <v>52</v>
      </c>
      <c r="F226">
        <v>89</v>
      </c>
      <c r="G226">
        <v>39</v>
      </c>
      <c r="H226" t="s">
        <v>1344</v>
      </c>
    </row>
    <row r="227" spans="5:8" x14ac:dyDescent="0.2">
      <c r="E227">
        <v>22</v>
      </c>
      <c r="F227">
        <v>89</v>
      </c>
      <c r="G227">
        <v>0</v>
      </c>
      <c r="H227" t="s">
        <v>1345</v>
      </c>
    </row>
    <row r="228" spans="5:8" x14ac:dyDescent="0.2">
      <c r="E228">
        <v>201</v>
      </c>
      <c r="F228">
        <v>255</v>
      </c>
      <c r="G228">
        <v>194</v>
      </c>
      <c r="H228" t="s">
        <v>1346</v>
      </c>
    </row>
    <row r="229" spans="5:8" x14ac:dyDescent="0.2">
      <c r="E229">
        <v>170</v>
      </c>
      <c r="F229">
        <v>255</v>
      </c>
      <c r="G229">
        <v>158</v>
      </c>
      <c r="H229" t="s">
        <v>1347</v>
      </c>
    </row>
    <row r="230" spans="5:8" x14ac:dyDescent="0.2">
      <c r="E230">
        <v>120</v>
      </c>
      <c r="F230">
        <v>255</v>
      </c>
      <c r="G230">
        <v>101</v>
      </c>
      <c r="H230" t="s">
        <v>1348</v>
      </c>
    </row>
    <row r="231" spans="5:8" x14ac:dyDescent="0.2">
      <c r="E231">
        <v>32</v>
      </c>
      <c r="F231">
        <v>255</v>
      </c>
      <c r="G231">
        <v>0</v>
      </c>
      <c r="H231" t="s">
        <v>1349</v>
      </c>
    </row>
    <row r="232" spans="5:8" x14ac:dyDescent="0.2">
      <c r="E232">
        <v>150</v>
      </c>
      <c r="F232">
        <v>231</v>
      </c>
      <c r="G232">
        <v>139</v>
      </c>
      <c r="H232" t="s">
        <v>1350</v>
      </c>
    </row>
    <row r="233" spans="5:8" x14ac:dyDescent="0.2">
      <c r="E233">
        <v>100</v>
      </c>
      <c r="F233">
        <v>231</v>
      </c>
      <c r="G233">
        <v>81</v>
      </c>
      <c r="H233" t="s">
        <v>1351</v>
      </c>
    </row>
    <row r="234" spans="5:8" x14ac:dyDescent="0.2">
      <c r="E234">
        <v>29</v>
      </c>
      <c r="F234">
        <v>231</v>
      </c>
      <c r="G234">
        <v>0</v>
      </c>
      <c r="H234" t="s">
        <v>1352</v>
      </c>
    </row>
    <row r="235" spans="5:8" x14ac:dyDescent="0.2">
      <c r="E235">
        <v>85</v>
      </c>
      <c r="F235">
        <v>168</v>
      </c>
      <c r="G235">
        <v>74</v>
      </c>
      <c r="H235" t="s">
        <v>1353</v>
      </c>
    </row>
    <row r="236" spans="5:8" x14ac:dyDescent="0.2">
      <c r="E236">
        <v>21</v>
      </c>
      <c r="F236">
        <v>168</v>
      </c>
      <c r="G236">
        <v>0</v>
      </c>
      <c r="H236" t="s">
        <v>1354</v>
      </c>
    </row>
    <row r="237" spans="5:8" x14ac:dyDescent="0.2">
      <c r="E237">
        <v>45</v>
      </c>
      <c r="F237">
        <v>89</v>
      </c>
      <c r="G237">
        <v>39</v>
      </c>
      <c r="H237" t="s">
        <v>1355</v>
      </c>
    </row>
    <row r="238" spans="5:8" x14ac:dyDescent="0.2">
      <c r="E238">
        <v>11</v>
      </c>
      <c r="F238">
        <v>89</v>
      </c>
      <c r="G238">
        <v>0</v>
      </c>
      <c r="H238" t="s">
        <v>1356</v>
      </c>
    </row>
    <row r="239" spans="5:8" x14ac:dyDescent="0.2">
      <c r="E239">
        <v>246</v>
      </c>
      <c r="F239">
        <v>255</v>
      </c>
      <c r="G239">
        <v>246</v>
      </c>
      <c r="H239" t="s">
        <v>1357</v>
      </c>
    </row>
    <row r="240" spans="5:8" x14ac:dyDescent="0.2">
      <c r="E240">
        <v>226</v>
      </c>
      <c r="F240">
        <v>255</v>
      </c>
      <c r="G240">
        <v>226</v>
      </c>
      <c r="H240" t="s">
        <v>1358</v>
      </c>
    </row>
    <row r="241" spans="5:8" x14ac:dyDescent="0.2">
      <c r="E241">
        <v>194</v>
      </c>
      <c r="F241">
        <v>255</v>
      </c>
      <c r="G241">
        <v>194</v>
      </c>
      <c r="H241" t="s">
        <v>1359</v>
      </c>
    </row>
    <row r="242" spans="5:8" x14ac:dyDescent="0.2">
      <c r="E242">
        <v>158</v>
      </c>
      <c r="F242">
        <v>255</v>
      </c>
      <c r="G242">
        <v>158</v>
      </c>
      <c r="H242" t="s">
        <v>1360</v>
      </c>
    </row>
    <row r="243" spans="5:8" x14ac:dyDescent="0.2">
      <c r="E243">
        <v>101</v>
      </c>
      <c r="F243">
        <v>255</v>
      </c>
      <c r="G243">
        <v>101</v>
      </c>
      <c r="H243" t="s">
        <v>1361</v>
      </c>
    </row>
    <row r="244" spans="5:8" x14ac:dyDescent="0.2">
      <c r="E244">
        <v>0</v>
      </c>
      <c r="F244">
        <v>255</v>
      </c>
      <c r="G244">
        <v>0</v>
      </c>
      <c r="H244" t="s">
        <v>1362</v>
      </c>
    </row>
    <row r="245" spans="5:8" x14ac:dyDescent="0.2">
      <c r="E245">
        <v>218</v>
      </c>
      <c r="F245">
        <v>231</v>
      </c>
      <c r="G245">
        <v>218</v>
      </c>
      <c r="H245" t="s">
        <v>1363</v>
      </c>
    </row>
    <row r="246" spans="5:8" x14ac:dyDescent="0.2">
      <c r="E246">
        <v>184</v>
      </c>
      <c r="F246">
        <v>231</v>
      </c>
      <c r="G246">
        <v>184</v>
      </c>
      <c r="H246" t="s">
        <v>1364</v>
      </c>
    </row>
    <row r="247" spans="5:8" x14ac:dyDescent="0.2">
      <c r="E247">
        <v>139</v>
      </c>
      <c r="F247">
        <v>231</v>
      </c>
      <c r="G247">
        <v>139</v>
      </c>
      <c r="H247" t="s">
        <v>1365</v>
      </c>
    </row>
    <row r="248" spans="5:8" x14ac:dyDescent="0.2">
      <c r="E248">
        <v>81</v>
      </c>
      <c r="F248">
        <v>231</v>
      </c>
      <c r="G248">
        <v>81</v>
      </c>
      <c r="H248" t="s">
        <v>1366</v>
      </c>
    </row>
    <row r="249" spans="5:8" x14ac:dyDescent="0.2">
      <c r="E249">
        <v>0</v>
      </c>
      <c r="F249">
        <v>231</v>
      </c>
      <c r="G249">
        <v>0</v>
      </c>
      <c r="H249" t="s">
        <v>1367</v>
      </c>
    </row>
    <row r="250" spans="5:8" x14ac:dyDescent="0.2">
      <c r="E250">
        <v>156</v>
      </c>
      <c r="F250">
        <v>168</v>
      </c>
      <c r="G250">
        <v>156</v>
      </c>
      <c r="H250" t="s">
        <v>1368</v>
      </c>
    </row>
    <row r="251" spans="5:8" x14ac:dyDescent="0.2">
      <c r="E251">
        <v>125</v>
      </c>
      <c r="F251">
        <v>168</v>
      </c>
      <c r="G251">
        <v>125</v>
      </c>
      <c r="H251" t="s">
        <v>1369</v>
      </c>
    </row>
    <row r="252" spans="5:8" x14ac:dyDescent="0.2">
      <c r="E252">
        <v>74</v>
      </c>
      <c r="F252">
        <v>168</v>
      </c>
      <c r="G252">
        <v>74</v>
      </c>
      <c r="H252" t="s">
        <v>1370</v>
      </c>
    </row>
    <row r="253" spans="5:8" x14ac:dyDescent="0.2">
      <c r="E253">
        <v>0</v>
      </c>
      <c r="F253">
        <v>168</v>
      </c>
      <c r="G253">
        <v>0</v>
      </c>
      <c r="H253" t="s">
        <v>1371</v>
      </c>
    </row>
    <row r="254" spans="5:8" x14ac:dyDescent="0.2">
      <c r="E254">
        <v>83</v>
      </c>
      <c r="F254">
        <v>89</v>
      </c>
      <c r="G254">
        <v>83</v>
      </c>
      <c r="H254" t="s">
        <v>1372</v>
      </c>
    </row>
    <row r="255" spans="5:8" x14ac:dyDescent="0.2">
      <c r="E255">
        <v>66</v>
      </c>
      <c r="F255">
        <v>89</v>
      </c>
      <c r="G255">
        <v>66</v>
      </c>
      <c r="H255" t="s">
        <v>1373</v>
      </c>
    </row>
    <row r="256" spans="5:8" x14ac:dyDescent="0.2">
      <c r="E256">
        <v>39</v>
      </c>
      <c r="F256">
        <v>89</v>
      </c>
      <c r="G256">
        <v>39</v>
      </c>
      <c r="H256" t="s">
        <v>1374</v>
      </c>
    </row>
    <row r="257" spans="5:8" x14ac:dyDescent="0.2">
      <c r="E257">
        <v>0</v>
      </c>
      <c r="F257">
        <v>89</v>
      </c>
      <c r="G257">
        <v>0</v>
      </c>
      <c r="H257" t="s">
        <v>1375</v>
      </c>
    </row>
    <row r="258" spans="5:8" x14ac:dyDescent="0.2">
      <c r="E258">
        <v>26</v>
      </c>
      <c r="F258">
        <v>29</v>
      </c>
      <c r="G258">
        <v>26</v>
      </c>
      <c r="H258" t="s">
        <v>1376</v>
      </c>
    </row>
    <row r="259" spans="5:8" x14ac:dyDescent="0.2">
      <c r="E259">
        <v>17</v>
      </c>
      <c r="F259">
        <v>29</v>
      </c>
      <c r="G259">
        <v>17</v>
      </c>
      <c r="H259" t="s">
        <v>1377</v>
      </c>
    </row>
    <row r="260" spans="5:8" x14ac:dyDescent="0.2">
      <c r="E260">
        <v>0</v>
      </c>
      <c r="F260">
        <v>29</v>
      </c>
      <c r="G260">
        <v>0</v>
      </c>
      <c r="H260" t="s">
        <v>1378</v>
      </c>
    </row>
    <row r="261" spans="5:8" x14ac:dyDescent="0.2">
      <c r="E261">
        <v>194</v>
      </c>
      <c r="F261">
        <v>255</v>
      </c>
      <c r="G261">
        <v>201</v>
      </c>
      <c r="H261" t="s">
        <v>1379</v>
      </c>
    </row>
    <row r="262" spans="5:8" x14ac:dyDescent="0.2">
      <c r="E262">
        <v>158</v>
      </c>
      <c r="F262">
        <v>255</v>
      </c>
      <c r="G262">
        <v>170</v>
      </c>
      <c r="H262" t="s">
        <v>1380</v>
      </c>
    </row>
    <row r="263" spans="5:8" x14ac:dyDescent="0.2">
      <c r="E263">
        <v>101</v>
      </c>
      <c r="F263">
        <v>255</v>
      </c>
      <c r="G263">
        <v>120</v>
      </c>
      <c r="H263" t="s">
        <v>1381</v>
      </c>
    </row>
    <row r="264" spans="5:8" x14ac:dyDescent="0.2">
      <c r="E264">
        <v>0</v>
      </c>
      <c r="F264">
        <v>255</v>
      </c>
      <c r="G264">
        <v>32</v>
      </c>
      <c r="H264" t="s">
        <v>1382</v>
      </c>
    </row>
    <row r="265" spans="5:8" x14ac:dyDescent="0.2">
      <c r="E265">
        <v>139</v>
      </c>
      <c r="F265">
        <v>231</v>
      </c>
      <c r="G265">
        <v>150</v>
      </c>
      <c r="H265" t="s">
        <v>1383</v>
      </c>
    </row>
    <row r="266" spans="5:8" x14ac:dyDescent="0.2">
      <c r="E266">
        <v>81</v>
      </c>
      <c r="F266">
        <v>231</v>
      </c>
      <c r="G266">
        <v>100</v>
      </c>
      <c r="H266" t="s">
        <v>1384</v>
      </c>
    </row>
    <row r="267" spans="5:8" x14ac:dyDescent="0.2">
      <c r="E267">
        <v>0</v>
      </c>
      <c r="F267">
        <v>231</v>
      </c>
      <c r="G267">
        <v>29</v>
      </c>
      <c r="H267" t="s">
        <v>1385</v>
      </c>
    </row>
    <row r="268" spans="5:8" x14ac:dyDescent="0.2">
      <c r="E268">
        <v>74</v>
      </c>
      <c r="F268">
        <v>168</v>
      </c>
      <c r="G268">
        <v>85</v>
      </c>
      <c r="H268" t="s">
        <v>1386</v>
      </c>
    </row>
    <row r="269" spans="5:8" x14ac:dyDescent="0.2">
      <c r="E269">
        <v>0</v>
      </c>
      <c r="F269">
        <v>168</v>
      </c>
      <c r="G269">
        <v>21</v>
      </c>
      <c r="H269" t="s">
        <v>1387</v>
      </c>
    </row>
    <row r="270" spans="5:8" x14ac:dyDescent="0.2">
      <c r="E270">
        <v>39</v>
      </c>
      <c r="F270">
        <v>89</v>
      </c>
      <c r="G270">
        <v>45</v>
      </c>
      <c r="H270" t="s">
        <v>1388</v>
      </c>
    </row>
    <row r="271" spans="5:8" x14ac:dyDescent="0.2">
      <c r="E271">
        <v>0</v>
      </c>
      <c r="F271">
        <v>89</v>
      </c>
      <c r="G271">
        <v>11</v>
      </c>
      <c r="H271" t="s">
        <v>1389</v>
      </c>
    </row>
    <row r="272" spans="5:8" x14ac:dyDescent="0.2">
      <c r="E272">
        <v>226</v>
      </c>
      <c r="F272">
        <v>255</v>
      </c>
      <c r="G272">
        <v>233</v>
      </c>
      <c r="H272" t="s">
        <v>1390</v>
      </c>
    </row>
    <row r="273" spans="5:8" x14ac:dyDescent="0.2">
      <c r="E273">
        <v>194</v>
      </c>
      <c r="F273">
        <v>255</v>
      </c>
      <c r="G273">
        <v>209</v>
      </c>
      <c r="H273" t="s">
        <v>1391</v>
      </c>
    </row>
    <row r="274" spans="5:8" x14ac:dyDescent="0.2">
      <c r="E274">
        <v>158</v>
      </c>
      <c r="F274">
        <v>255</v>
      </c>
      <c r="G274">
        <v>182</v>
      </c>
      <c r="H274" t="s">
        <v>1392</v>
      </c>
    </row>
    <row r="275" spans="5:8" x14ac:dyDescent="0.2">
      <c r="E275">
        <v>101</v>
      </c>
      <c r="F275">
        <v>255</v>
      </c>
      <c r="G275">
        <v>139</v>
      </c>
      <c r="H275" t="s">
        <v>1393</v>
      </c>
    </row>
    <row r="276" spans="5:8" x14ac:dyDescent="0.2">
      <c r="E276">
        <v>0</v>
      </c>
      <c r="F276">
        <v>255</v>
      </c>
      <c r="G276">
        <v>64</v>
      </c>
      <c r="H276" t="s">
        <v>1394</v>
      </c>
    </row>
    <row r="277" spans="5:8" x14ac:dyDescent="0.2">
      <c r="E277">
        <v>184</v>
      </c>
      <c r="F277">
        <v>231</v>
      </c>
      <c r="G277">
        <v>196</v>
      </c>
      <c r="H277" t="s">
        <v>1395</v>
      </c>
    </row>
    <row r="278" spans="5:8" x14ac:dyDescent="0.2">
      <c r="E278">
        <v>139</v>
      </c>
      <c r="F278">
        <v>231</v>
      </c>
      <c r="G278">
        <v>162</v>
      </c>
      <c r="H278" t="s">
        <v>1396</v>
      </c>
    </row>
    <row r="279" spans="5:8" x14ac:dyDescent="0.2">
      <c r="E279">
        <v>81</v>
      </c>
      <c r="F279">
        <v>231</v>
      </c>
      <c r="G279">
        <v>119</v>
      </c>
      <c r="H279" t="s">
        <v>1397</v>
      </c>
    </row>
    <row r="280" spans="5:8" x14ac:dyDescent="0.2">
      <c r="E280">
        <v>0</v>
      </c>
      <c r="F280">
        <v>231</v>
      </c>
      <c r="G280">
        <v>58</v>
      </c>
      <c r="H280" t="s">
        <v>1398</v>
      </c>
    </row>
    <row r="281" spans="5:8" x14ac:dyDescent="0.2">
      <c r="E281">
        <v>125</v>
      </c>
      <c r="F281">
        <v>168</v>
      </c>
      <c r="G281">
        <v>136</v>
      </c>
      <c r="H281" t="s">
        <v>1399</v>
      </c>
    </row>
    <row r="282" spans="5:8" x14ac:dyDescent="0.2">
      <c r="E282">
        <v>74</v>
      </c>
      <c r="F282">
        <v>168</v>
      </c>
      <c r="G282">
        <v>97</v>
      </c>
      <c r="H282" t="s">
        <v>1400</v>
      </c>
    </row>
    <row r="283" spans="5:8" x14ac:dyDescent="0.2">
      <c r="E283">
        <v>0</v>
      </c>
      <c r="F283">
        <v>168</v>
      </c>
      <c r="G283">
        <v>42</v>
      </c>
      <c r="H283" t="s">
        <v>1401</v>
      </c>
    </row>
    <row r="284" spans="5:8" x14ac:dyDescent="0.2">
      <c r="E284">
        <v>66</v>
      </c>
      <c r="F284">
        <v>89</v>
      </c>
      <c r="G284">
        <v>72</v>
      </c>
      <c r="H284" t="s">
        <v>1402</v>
      </c>
    </row>
    <row r="285" spans="5:8" x14ac:dyDescent="0.2">
      <c r="E285">
        <v>39</v>
      </c>
      <c r="F285">
        <v>89</v>
      </c>
      <c r="G285">
        <v>52</v>
      </c>
      <c r="H285" t="s">
        <v>1403</v>
      </c>
    </row>
    <row r="286" spans="5:8" x14ac:dyDescent="0.2">
      <c r="E286">
        <v>0</v>
      </c>
      <c r="F286">
        <v>89</v>
      </c>
      <c r="G286">
        <v>22</v>
      </c>
      <c r="H286" t="s">
        <v>1404</v>
      </c>
    </row>
    <row r="287" spans="5:8" x14ac:dyDescent="0.2">
      <c r="E287">
        <v>194</v>
      </c>
      <c r="F287">
        <v>255</v>
      </c>
      <c r="G287">
        <v>217</v>
      </c>
      <c r="H287" t="s">
        <v>1405</v>
      </c>
    </row>
    <row r="288" spans="5:8" x14ac:dyDescent="0.2">
      <c r="E288">
        <v>158</v>
      </c>
      <c r="F288">
        <v>255</v>
      </c>
      <c r="G288">
        <v>194</v>
      </c>
      <c r="H288" t="s">
        <v>1406</v>
      </c>
    </row>
    <row r="289" spans="5:8" x14ac:dyDescent="0.2">
      <c r="E289">
        <v>101</v>
      </c>
      <c r="F289">
        <v>255</v>
      </c>
      <c r="G289">
        <v>159</v>
      </c>
      <c r="H289" t="s">
        <v>1407</v>
      </c>
    </row>
    <row r="290" spans="5:8" x14ac:dyDescent="0.2">
      <c r="E290">
        <v>0</v>
      </c>
      <c r="F290">
        <v>255</v>
      </c>
      <c r="G290">
        <v>96</v>
      </c>
      <c r="H290" t="s">
        <v>1408</v>
      </c>
    </row>
    <row r="291" spans="5:8" x14ac:dyDescent="0.2">
      <c r="E291">
        <v>139</v>
      </c>
      <c r="F291">
        <v>231</v>
      </c>
      <c r="G291">
        <v>174</v>
      </c>
      <c r="H291" t="s">
        <v>1409</v>
      </c>
    </row>
    <row r="292" spans="5:8" x14ac:dyDescent="0.2">
      <c r="E292">
        <v>81</v>
      </c>
      <c r="F292">
        <v>231</v>
      </c>
      <c r="G292">
        <v>137</v>
      </c>
      <c r="H292" t="s">
        <v>1410</v>
      </c>
    </row>
    <row r="293" spans="5:8" x14ac:dyDescent="0.2">
      <c r="E293">
        <v>0</v>
      </c>
      <c r="F293">
        <v>231</v>
      </c>
      <c r="G293">
        <v>87</v>
      </c>
      <c r="H293" t="s">
        <v>1411</v>
      </c>
    </row>
    <row r="294" spans="5:8" x14ac:dyDescent="0.2">
      <c r="E294">
        <v>74</v>
      </c>
      <c r="F294">
        <v>168</v>
      </c>
      <c r="G294">
        <v>109</v>
      </c>
      <c r="H294" t="s">
        <v>1412</v>
      </c>
    </row>
    <row r="295" spans="5:8" x14ac:dyDescent="0.2">
      <c r="E295">
        <v>0</v>
      </c>
      <c r="F295">
        <v>168</v>
      </c>
      <c r="G295">
        <v>63</v>
      </c>
      <c r="H295" t="s">
        <v>1413</v>
      </c>
    </row>
    <row r="296" spans="5:8" x14ac:dyDescent="0.2">
      <c r="E296">
        <v>39</v>
      </c>
      <c r="F296">
        <v>89</v>
      </c>
      <c r="G296">
        <v>58</v>
      </c>
      <c r="H296" t="s">
        <v>1414</v>
      </c>
    </row>
    <row r="297" spans="5:8" x14ac:dyDescent="0.2">
      <c r="E297">
        <v>0</v>
      </c>
      <c r="F297">
        <v>89</v>
      </c>
      <c r="G297">
        <v>33</v>
      </c>
      <c r="H297" t="s">
        <v>1415</v>
      </c>
    </row>
    <row r="298" spans="5:8" x14ac:dyDescent="0.2">
      <c r="E298">
        <v>226</v>
      </c>
      <c r="F298">
        <v>255</v>
      </c>
      <c r="G298">
        <v>240</v>
      </c>
      <c r="H298" t="s">
        <v>1416</v>
      </c>
    </row>
    <row r="299" spans="5:8" x14ac:dyDescent="0.2">
      <c r="E299">
        <v>194</v>
      </c>
      <c r="F299">
        <v>255</v>
      </c>
      <c r="G299">
        <v>224</v>
      </c>
      <c r="H299" t="s">
        <v>1417</v>
      </c>
    </row>
    <row r="300" spans="5:8" x14ac:dyDescent="0.2">
      <c r="E300">
        <v>158</v>
      </c>
      <c r="F300">
        <v>255</v>
      </c>
      <c r="G300">
        <v>207</v>
      </c>
      <c r="H300" t="s">
        <v>1418</v>
      </c>
    </row>
    <row r="301" spans="5:8" x14ac:dyDescent="0.2">
      <c r="E301">
        <v>101</v>
      </c>
      <c r="F301">
        <v>255</v>
      </c>
      <c r="G301">
        <v>178</v>
      </c>
      <c r="H301" t="s">
        <v>1419</v>
      </c>
    </row>
    <row r="302" spans="5:8" x14ac:dyDescent="0.2">
      <c r="E302">
        <v>0</v>
      </c>
      <c r="F302">
        <v>255</v>
      </c>
      <c r="G302">
        <v>128</v>
      </c>
      <c r="H302" t="s">
        <v>1420</v>
      </c>
    </row>
    <row r="303" spans="5:8" x14ac:dyDescent="0.2">
      <c r="E303">
        <v>184</v>
      </c>
      <c r="F303">
        <v>231</v>
      </c>
      <c r="G303">
        <v>208</v>
      </c>
      <c r="H303" t="s">
        <v>1421</v>
      </c>
    </row>
    <row r="304" spans="5:8" x14ac:dyDescent="0.2">
      <c r="E304">
        <v>139</v>
      </c>
      <c r="F304">
        <v>231</v>
      </c>
      <c r="G304">
        <v>185</v>
      </c>
      <c r="H304" t="s">
        <v>1422</v>
      </c>
    </row>
    <row r="305" spans="5:8" x14ac:dyDescent="0.2">
      <c r="E305">
        <v>81</v>
      </c>
      <c r="F305">
        <v>231</v>
      </c>
      <c r="G305">
        <v>156</v>
      </c>
      <c r="H305" t="s">
        <v>1423</v>
      </c>
    </row>
    <row r="306" spans="5:8" x14ac:dyDescent="0.2">
      <c r="E306">
        <v>0</v>
      </c>
      <c r="F306">
        <v>231</v>
      </c>
      <c r="G306">
        <v>116</v>
      </c>
      <c r="H306" t="s">
        <v>1424</v>
      </c>
    </row>
    <row r="307" spans="5:8" x14ac:dyDescent="0.2">
      <c r="E307">
        <v>125</v>
      </c>
      <c r="F307">
        <v>168</v>
      </c>
      <c r="G307">
        <v>147</v>
      </c>
      <c r="H307" t="s">
        <v>1425</v>
      </c>
    </row>
    <row r="308" spans="5:8" x14ac:dyDescent="0.2">
      <c r="E308">
        <v>74</v>
      </c>
      <c r="F308">
        <v>168</v>
      </c>
      <c r="G308">
        <v>121</v>
      </c>
      <c r="H308" t="s">
        <v>1426</v>
      </c>
    </row>
    <row r="309" spans="5:8" x14ac:dyDescent="0.2">
      <c r="E309">
        <v>0</v>
      </c>
      <c r="F309">
        <v>168</v>
      </c>
      <c r="G309">
        <v>84</v>
      </c>
      <c r="H309" t="s">
        <v>1427</v>
      </c>
    </row>
    <row r="310" spans="5:8" x14ac:dyDescent="0.2">
      <c r="E310">
        <v>66</v>
      </c>
      <c r="F310">
        <v>89</v>
      </c>
      <c r="G310">
        <v>78</v>
      </c>
      <c r="H310" t="s">
        <v>1428</v>
      </c>
    </row>
    <row r="311" spans="5:8" x14ac:dyDescent="0.2">
      <c r="E311">
        <v>39</v>
      </c>
      <c r="F311">
        <v>89</v>
      </c>
      <c r="G311">
        <v>64</v>
      </c>
      <c r="H311" t="s">
        <v>1429</v>
      </c>
    </row>
    <row r="312" spans="5:8" x14ac:dyDescent="0.2">
      <c r="E312">
        <v>0</v>
      </c>
      <c r="F312">
        <v>89</v>
      </c>
      <c r="G312">
        <v>45</v>
      </c>
      <c r="H312" t="s">
        <v>1430</v>
      </c>
    </row>
    <row r="313" spans="5:8" x14ac:dyDescent="0.2">
      <c r="E313">
        <v>17</v>
      </c>
      <c r="F313">
        <v>29</v>
      </c>
      <c r="G313">
        <v>23</v>
      </c>
      <c r="H313" t="s">
        <v>1431</v>
      </c>
    </row>
    <row r="314" spans="5:8" x14ac:dyDescent="0.2">
      <c r="E314">
        <v>0</v>
      </c>
      <c r="F314">
        <v>29</v>
      </c>
      <c r="G314">
        <v>14</v>
      </c>
      <c r="H314" t="s">
        <v>1432</v>
      </c>
    </row>
    <row r="315" spans="5:8" x14ac:dyDescent="0.2">
      <c r="E315">
        <v>194</v>
      </c>
      <c r="F315">
        <v>255</v>
      </c>
      <c r="G315">
        <v>232</v>
      </c>
      <c r="H315" t="s">
        <v>1433</v>
      </c>
    </row>
    <row r="316" spans="5:8" x14ac:dyDescent="0.2">
      <c r="E316">
        <v>158</v>
      </c>
      <c r="F316">
        <v>255</v>
      </c>
      <c r="G316">
        <v>219</v>
      </c>
      <c r="H316" t="s">
        <v>1434</v>
      </c>
    </row>
    <row r="317" spans="5:8" x14ac:dyDescent="0.2">
      <c r="E317">
        <v>101</v>
      </c>
      <c r="F317">
        <v>255</v>
      </c>
      <c r="G317">
        <v>197</v>
      </c>
      <c r="H317" t="s">
        <v>1435</v>
      </c>
    </row>
    <row r="318" spans="5:8" x14ac:dyDescent="0.2">
      <c r="E318">
        <v>0</v>
      </c>
      <c r="F318">
        <v>255</v>
      </c>
      <c r="G318">
        <v>159</v>
      </c>
      <c r="H318" t="s">
        <v>1436</v>
      </c>
    </row>
    <row r="319" spans="5:8" x14ac:dyDescent="0.2">
      <c r="E319">
        <v>139</v>
      </c>
      <c r="F319">
        <v>231</v>
      </c>
      <c r="G319">
        <v>197</v>
      </c>
      <c r="H319" t="s">
        <v>1437</v>
      </c>
    </row>
    <row r="320" spans="5:8" x14ac:dyDescent="0.2">
      <c r="E320">
        <v>81</v>
      </c>
      <c r="F320">
        <v>231</v>
      </c>
      <c r="G320">
        <v>175</v>
      </c>
      <c r="H320" t="s">
        <v>1438</v>
      </c>
    </row>
    <row r="321" spans="5:8" x14ac:dyDescent="0.2">
      <c r="E321">
        <v>0</v>
      </c>
      <c r="F321">
        <v>231</v>
      </c>
      <c r="G321">
        <v>145</v>
      </c>
      <c r="H321" t="s">
        <v>1439</v>
      </c>
    </row>
    <row r="322" spans="5:8" x14ac:dyDescent="0.2">
      <c r="E322">
        <v>74</v>
      </c>
      <c r="F322">
        <v>168</v>
      </c>
      <c r="G322">
        <v>133</v>
      </c>
      <c r="H322" t="s">
        <v>1440</v>
      </c>
    </row>
    <row r="323" spans="5:8" x14ac:dyDescent="0.2">
      <c r="E323">
        <v>0</v>
      </c>
      <c r="F323">
        <v>168</v>
      </c>
      <c r="G323">
        <v>105</v>
      </c>
      <c r="H323" t="s">
        <v>1441</v>
      </c>
    </row>
    <row r="324" spans="5:8" x14ac:dyDescent="0.2">
      <c r="E324">
        <v>39</v>
      </c>
      <c r="F324">
        <v>89</v>
      </c>
      <c r="G324">
        <v>70</v>
      </c>
      <c r="H324" t="s">
        <v>1442</v>
      </c>
    </row>
    <row r="325" spans="5:8" x14ac:dyDescent="0.2">
      <c r="E325">
        <v>0</v>
      </c>
      <c r="F325">
        <v>89</v>
      </c>
      <c r="G325">
        <v>56</v>
      </c>
      <c r="H325" t="s">
        <v>1443</v>
      </c>
    </row>
    <row r="326" spans="5:8" x14ac:dyDescent="0.2">
      <c r="E326">
        <v>226</v>
      </c>
      <c r="F326">
        <v>255</v>
      </c>
      <c r="G326">
        <v>248</v>
      </c>
      <c r="H326" t="s">
        <v>1444</v>
      </c>
    </row>
    <row r="327" spans="5:8" x14ac:dyDescent="0.2">
      <c r="E327">
        <v>194</v>
      </c>
      <c r="F327">
        <v>255</v>
      </c>
      <c r="G327">
        <v>240</v>
      </c>
      <c r="H327" t="s">
        <v>1445</v>
      </c>
    </row>
    <row r="328" spans="5:8" x14ac:dyDescent="0.2">
      <c r="E328">
        <v>158</v>
      </c>
      <c r="F328">
        <v>255</v>
      </c>
      <c r="G328">
        <v>231</v>
      </c>
      <c r="H328" t="s">
        <v>1446</v>
      </c>
    </row>
    <row r="329" spans="5:8" x14ac:dyDescent="0.2">
      <c r="E329">
        <v>101</v>
      </c>
      <c r="F329">
        <v>255</v>
      </c>
      <c r="G329">
        <v>216</v>
      </c>
      <c r="H329" t="s">
        <v>1447</v>
      </c>
    </row>
    <row r="330" spans="5:8" x14ac:dyDescent="0.2">
      <c r="E330">
        <v>0</v>
      </c>
      <c r="F330">
        <v>255</v>
      </c>
      <c r="G330">
        <v>191</v>
      </c>
      <c r="H330" t="s">
        <v>1448</v>
      </c>
    </row>
    <row r="331" spans="5:8" x14ac:dyDescent="0.2">
      <c r="E331">
        <v>184</v>
      </c>
      <c r="F331">
        <v>231</v>
      </c>
      <c r="G331">
        <v>220</v>
      </c>
      <c r="H331" t="s">
        <v>1449</v>
      </c>
    </row>
    <row r="332" spans="5:8" x14ac:dyDescent="0.2">
      <c r="E332">
        <v>139</v>
      </c>
      <c r="F332">
        <v>231</v>
      </c>
      <c r="G332">
        <v>208</v>
      </c>
      <c r="H332" t="s">
        <v>1450</v>
      </c>
    </row>
    <row r="333" spans="5:8" x14ac:dyDescent="0.2">
      <c r="E333">
        <v>81</v>
      </c>
      <c r="F333">
        <v>231</v>
      </c>
      <c r="G333">
        <v>194</v>
      </c>
      <c r="H333" t="s">
        <v>1451</v>
      </c>
    </row>
    <row r="334" spans="5:8" x14ac:dyDescent="0.2">
      <c r="E334">
        <v>0</v>
      </c>
      <c r="F334">
        <v>231</v>
      </c>
      <c r="G334">
        <v>174</v>
      </c>
      <c r="H334" t="s">
        <v>1452</v>
      </c>
    </row>
    <row r="335" spans="5:8" x14ac:dyDescent="0.2">
      <c r="E335">
        <v>125</v>
      </c>
      <c r="F335">
        <v>168</v>
      </c>
      <c r="G335">
        <v>158</v>
      </c>
      <c r="H335" t="s">
        <v>1453</v>
      </c>
    </row>
    <row r="336" spans="5:8" x14ac:dyDescent="0.2">
      <c r="E336">
        <v>74</v>
      </c>
      <c r="F336">
        <v>168</v>
      </c>
      <c r="G336">
        <v>145</v>
      </c>
      <c r="H336" t="s">
        <v>1454</v>
      </c>
    </row>
    <row r="337" spans="5:8" x14ac:dyDescent="0.2">
      <c r="E337">
        <v>0</v>
      </c>
      <c r="F337">
        <v>168</v>
      </c>
      <c r="G337">
        <v>126</v>
      </c>
      <c r="H337" t="s">
        <v>1455</v>
      </c>
    </row>
    <row r="338" spans="5:8" x14ac:dyDescent="0.2">
      <c r="E338">
        <v>66</v>
      </c>
      <c r="F338">
        <v>89</v>
      </c>
      <c r="G338">
        <v>84</v>
      </c>
      <c r="H338" t="s">
        <v>1456</v>
      </c>
    </row>
    <row r="339" spans="5:8" x14ac:dyDescent="0.2">
      <c r="E339">
        <v>39</v>
      </c>
      <c r="F339">
        <v>89</v>
      </c>
      <c r="G339">
        <v>77</v>
      </c>
      <c r="H339" t="s">
        <v>1457</v>
      </c>
    </row>
    <row r="340" spans="5:8" x14ac:dyDescent="0.2">
      <c r="E340">
        <v>0</v>
      </c>
      <c r="F340">
        <v>89</v>
      </c>
      <c r="G340">
        <v>67</v>
      </c>
      <c r="H340" t="s">
        <v>1458</v>
      </c>
    </row>
    <row r="341" spans="5:8" x14ac:dyDescent="0.2">
      <c r="E341">
        <v>194</v>
      </c>
      <c r="F341">
        <v>255</v>
      </c>
      <c r="G341">
        <v>247</v>
      </c>
      <c r="H341" t="s">
        <v>1459</v>
      </c>
    </row>
    <row r="342" spans="5:8" x14ac:dyDescent="0.2">
      <c r="E342">
        <v>158</v>
      </c>
      <c r="F342">
        <v>255</v>
      </c>
      <c r="G342">
        <v>243</v>
      </c>
      <c r="H342" t="s">
        <v>1460</v>
      </c>
    </row>
    <row r="343" spans="5:8" x14ac:dyDescent="0.2">
      <c r="E343">
        <v>101</v>
      </c>
      <c r="F343">
        <v>255</v>
      </c>
      <c r="G343">
        <v>236</v>
      </c>
      <c r="H343" t="s">
        <v>1461</v>
      </c>
    </row>
    <row r="344" spans="5:8" x14ac:dyDescent="0.2">
      <c r="E344">
        <v>0</v>
      </c>
      <c r="F344">
        <v>255</v>
      </c>
      <c r="G344">
        <v>223</v>
      </c>
      <c r="H344" t="s">
        <v>1462</v>
      </c>
    </row>
    <row r="345" spans="5:8" x14ac:dyDescent="0.2">
      <c r="E345">
        <v>139</v>
      </c>
      <c r="F345">
        <v>231</v>
      </c>
      <c r="G345">
        <v>220</v>
      </c>
      <c r="H345" t="s">
        <v>1463</v>
      </c>
    </row>
    <row r="346" spans="5:8" x14ac:dyDescent="0.2">
      <c r="E346">
        <v>81</v>
      </c>
      <c r="F346">
        <v>231</v>
      </c>
      <c r="G346">
        <v>213</v>
      </c>
      <c r="H346" t="s">
        <v>1464</v>
      </c>
    </row>
    <row r="347" spans="5:8" x14ac:dyDescent="0.2">
      <c r="E347">
        <v>0</v>
      </c>
      <c r="F347">
        <v>231</v>
      </c>
      <c r="G347">
        <v>202</v>
      </c>
      <c r="H347" t="s">
        <v>1465</v>
      </c>
    </row>
    <row r="348" spans="5:8" x14ac:dyDescent="0.2">
      <c r="E348">
        <v>74</v>
      </c>
      <c r="F348">
        <v>168</v>
      </c>
      <c r="G348">
        <v>156</v>
      </c>
      <c r="H348" t="s">
        <v>1466</v>
      </c>
    </row>
    <row r="349" spans="5:8" x14ac:dyDescent="0.2">
      <c r="E349">
        <v>0</v>
      </c>
      <c r="F349">
        <v>168</v>
      </c>
      <c r="G349">
        <v>147</v>
      </c>
      <c r="H349" t="s">
        <v>1467</v>
      </c>
    </row>
    <row r="350" spans="5:8" x14ac:dyDescent="0.2">
      <c r="E350">
        <v>39</v>
      </c>
      <c r="F350">
        <v>89</v>
      </c>
      <c r="G350">
        <v>83</v>
      </c>
      <c r="H350" t="s">
        <v>1468</v>
      </c>
    </row>
    <row r="351" spans="5:8" x14ac:dyDescent="0.2">
      <c r="E351">
        <v>0</v>
      </c>
      <c r="F351">
        <v>89</v>
      </c>
      <c r="G351">
        <v>78</v>
      </c>
      <c r="H351" t="s">
        <v>1469</v>
      </c>
    </row>
    <row r="352" spans="5:8" x14ac:dyDescent="0.2">
      <c r="E352">
        <v>246</v>
      </c>
      <c r="F352">
        <v>255</v>
      </c>
      <c r="G352">
        <v>255</v>
      </c>
      <c r="H352" t="s">
        <v>1470</v>
      </c>
    </row>
    <row r="353" spans="5:8" x14ac:dyDescent="0.2">
      <c r="E353">
        <v>226</v>
      </c>
      <c r="F353">
        <v>255</v>
      </c>
      <c r="G353">
        <v>255</v>
      </c>
      <c r="H353" t="s">
        <v>1471</v>
      </c>
    </row>
    <row r="354" spans="5:8" x14ac:dyDescent="0.2">
      <c r="E354">
        <v>194</v>
      </c>
      <c r="F354">
        <v>255</v>
      </c>
      <c r="G354">
        <v>255</v>
      </c>
      <c r="H354" t="s">
        <v>1472</v>
      </c>
    </row>
    <row r="355" spans="5:8" x14ac:dyDescent="0.2">
      <c r="E355">
        <v>158</v>
      </c>
      <c r="F355">
        <v>255</v>
      </c>
      <c r="G355">
        <v>255</v>
      </c>
      <c r="H355" t="s">
        <v>1473</v>
      </c>
    </row>
    <row r="356" spans="5:8" x14ac:dyDescent="0.2">
      <c r="E356">
        <v>101</v>
      </c>
      <c r="F356">
        <v>255</v>
      </c>
      <c r="G356">
        <v>255</v>
      </c>
      <c r="H356" t="s">
        <v>1474</v>
      </c>
    </row>
    <row r="357" spans="5:8" x14ac:dyDescent="0.2">
      <c r="E357">
        <v>0</v>
      </c>
      <c r="F357">
        <v>255</v>
      </c>
      <c r="G357">
        <v>255</v>
      </c>
      <c r="H357" t="s">
        <v>1475</v>
      </c>
    </row>
    <row r="358" spans="5:8" x14ac:dyDescent="0.2">
      <c r="E358">
        <v>218</v>
      </c>
      <c r="F358">
        <v>231</v>
      </c>
      <c r="G358">
        <v>231</v>
      </c>
      <c r="H358" t="s">
        <v>1476</v>
      </c>
    </row>
    <row r="359" spans="5:8" x14ac:dyDescent="0.2">
      <c r="E359">
        <v>184</v>
      </c>
      <c r="F359">
        <v>231</v>
      </c>
      <c r="G359">
        <v>231</v>
      </c>
      <c r="H359" t="s">
        <v>1477</v>
      </c>
    </row>
    <row r="360" spans="5:8" x14ac:dyDescent="0.2">
      <c r="E360">
        <v>139</v>
      </c>
      <c r="F360">
        <v>231</v>
      </c>
      <c r="G360">
        <v>231</v>
      </c>
      <c r="H360" t="s">
        <v>1478</v>
      </c>
    </row>
    <row r="361" spans="5:8" x14ac:dyDescent="0.2">
      <c r="E361">
        <v>81</v>
      </c>
      <c r="F361">
        <v>231</v>
      </c>
      <c r="G361">
        <v>231</v>
      </c>
      <c r="H361" t="s">
        <v>1479</v>
      </c>
    </row>
    <row r="362" spans="5:8" x14ac:dyDescent="0.2">
      <c r="E362">
        <v>0</v>
      </c>
      <c r="F362">
        <v>231</v>
      </c>
      <c r="G362">
        <v>231</v>
      </c>
      <c r="H362" t="s">
        <v>1480</v>
      </c>
    </row>
    <row r="363" spans="5:8" x14ac:dyDescent="0.2">
      <c r="E363">
        <v>156</v>
      </c>
      <c r="F363">
        <v>168</v>
      </c>
      <c r="G363">
        <v>168</v>
      </c>
      <c r="H363" t="s">
        <v>1481</v>
      </c>
    </row>
    <row r="364" spans="5:8" x14ac:dyDescent="0.2">
      <c r="E364">
        <v>125</v>
      </c>
      <c r="F364">
        <v>168</v>
      </c>
      <c r="G364">
        <v>168</v>
      </c>
      <c r="H364" t="s">
        <v>1482</v>
      </c>
    </row>
    <row r="365" spans="5:8" x14ac:dyDescent="0.2">
      <c r="E365">
        <v>74</v>
      </c>
      <c r="F365">
        <v>168</v>
      </c>
      <c r="G365">
        <v>168</v>
      </c>
      <c r="H365" t="s">
        <v>1483</v>
      </c>
    </row>
    <row r="366" spans="5:8" x14ac:dyDescent="0.2">
      <c r="E366">
        <v>0</v>
      </c>
      <c r="F366">
        <v>168</v>
      </c>
      <c r="G366">
        <v>168</v>
      </c>
      <c r="H366" t="s">
        <v>1484</v>
      </c>
    </row>
    <row r="367" spans="5:8" x14ac:dyDescent="0.2">
      <c r="E367">
        <v>83</v>
      </c>
      <c r="F367">
        <v>89</v>
      </c>
      <c r="G367">
        <v>89</v>
      </c>
      <c r="H367" t="s">
        <v>1485</v>
      </c>
    </row>
    <row r="368" spans="5:8" x14ac:dyDescent="0.2">
      <c r="E368">
        <v>66</v>
      </c>
      <c r="F368">
        <v>89</v>
      </c>
      <c r="G368">
        <v>89</v>
      </c>
      <c r="H368" t="s">
        <v>1486</v>
      </c>
    </row>
    <row r="369" spans="5:8" x14ac:dyDescent="0.2">
      <c r="E369">
        <v>39</v>
      </c>
      <c r="F369">
        <v>89</v>
      </c>
      <c r="G369">
        <v>89</v>
      </c>
      <c r="H369" t="s">
        <v>1487</v>
      </c>
    </row>
    <row r="370" spans="5:8" x14ac:dyDescent="0.2">
      <c r="E370">
        <v>0</v>
      </c>
      <c r="F370">
        <v>89</v>
      </c>
      <c r="G370">
        <v>89</v>
      </c>
      <c r="H370" t="s">
        <v>1488</v>
      </c>
    </row>
    <row r="371" spans="5:8" x14ac:dyDescent="0.2">
      <c r="E371">
        <v>26</v>
      </c>
      <c r="F371">
        <v>29</v>
      </c>
      <c r="G371">
        <v>29</v>
      </c>
      <c r="H371" t="s">
        <v>1489</v>
      </c>
    </row>
    <row r="372" spans="5:8" x14ac:dyDescent="0.2">
      <c r="E372">
        <v>17</v>
      </c>
      <c r="F372">
        <v>29</v>
      </c>
      <c r="G372">
        <v>29</v>
      </c>
      <c r="H372" t="s">
        <v>1490</v>
      </c>
    </row>
    <row r="373" spans="5:8" x14ac:dyDescent="0.2">
      <c r="E373">
        <v>0</v>
      </c>
      <c r="F373">
        <v>29</v>
      </c>
      <c r="G373">
        <v>29</v>
      </c>
      <c r="H373" t="s">
        <v>1491</v>
      </c>
    </row>
    <row r="374" spans="5:8" x14ac:dyDescent="0.2">
      <c r="E374">
        <v>194</v>
      </c>
      <c r="F374">
        <v>247</v>
      </c>
      <c r="G374">
        <v>255</v>
      </c>
      <c r="H374" t="s">
        <v>1492</v>
      </c>
    </row>
    <row r="375" spans="5:8" x14ac:dyDescent="0.2">
      <c r="E375">
        <v>158</v>
      </c>
      <c r="F375">
        <v>243</v>
      </c>
      <c r="G375">
        <v>255</v>
      </c>
      <c r="H375" t="s">
        <v>1493</v>
      </c>
    </row>
    <row r="376" spans="5:8" x14ac:dyDescent="0.2">
      <c r="E376">
        <v>101</v>
      </c>
      <c r="F376">
        <v>236</v>
      </c>
      <c r="G376">
        <v>255</v>
      </c>
      <c r="H376" t="s">
        <v>1494</v>
      </c>
    </row>
    <row r="377" spans="5:8" x14ac:dyDescent="0.2">
      <c r="E377">
        <v>0</v>
      </c>
      <c r="F377">
        <v>223</v>
      </c>
      <c r="G377">
        <v>255</v>
      </c>
      <c r="H377" t="s">
        <v>1495</v>
      </c>
    </row>
    <row r="378" spans="5:8" x14ac:dyDescent="0.2">
      <c r="E378">
        <v>139</v>
      </c>
      <c r="F378">
        <v>220</v>
      </c>
      <c r="G378">
        <v>231</v>
      </c>
      <c r="H378" t="s">
        <v>1496</v>
      </c>
    </row>
    <row r="379" spans="5:8" x14ac:dyDescent="0.2">
      <c r="E379">
        <v>81</v>
      </c>
      <c r="F379">
        <v>213</v>
      </c>
      <c r="G379">
        <v>231</v>
      </c>
      <c r="H379" t="s">
        <v>1497</v>
      </c>
    </row>
    <row r="380" spans="5:8" x14ac:dyDescent="0.2">
      <c r="E380">
        <v>0</v>
      </c>
      <c r="F380">
        <v>202</v>
      </c>
      <c r="G380">
        <v>231</v>
      </c>
      <c r="H380" t="s">
        <v>1498</v>
      </c>
    </row>
    <row r="381" spans="5:8" x14ac:dyDescent="0.2">
      <c r="E381">
        <v>74</v>
      </c>
      <c r="F381">
        <v>156</v>
      </c>
      <c r="G381">
        <v>168</v>
      </c>
      <c r="H381" t="s">
        <v>1499</v>
      </c>
    </row>
    <row r="382" spans="5:8" x14ac:dyDescent="0.2">
      <c r="E382">
        <v>0</v>
      </c>
      <c r="F382">
        <v>147</v>
      </c>
      <c r="G382">
        <v>168</v>
      </c>
      <c r="H382" t="s">
        <v>1500</v>
      </c>
    </row>
    <row r="383" spans="5:8" x14ac:dyDescent="0.2">
      <c r="E383">
        <v>39</v>
      </c>
      <c r="F383">
        <v>83</v>
      </c>
      <c r="G383">
        <v>89</v>
      </c>
      <c r="H383" t="s">
        <v>1501</v>
      </c>
    </row>
    <row r="384" spans="5:8" x14ac:dyDescent="0.2">
      <c r="E384">
        <v>0</v>
      </c>
      <c r="F384">
        <v>78</v>
      </c>
      <c r="G384">
        <v>89</v>
      </c>
      <c r="H384" t="s">
        <v>1502</v>
      </c>
    </row>
    <row r="385" spans="5:8" x14ac:dyDescent="0.2">
      <c r="E385">
        <v>226</v>
      </c>
      <c r="F385">
        <v>248</v>
      </c>
      <c r="G385">
        <v>255</v>
      </c>
      <c r="H385" t="s">
        <v>1503</v>
      </c>
    </row>
    <row r="386" spans="5:8" x14ac:dyDescent="0.2">
      <c r="E386">
        <v>194</v>
      </c>
      <c r="F386">
        <v>240</v>
      </c>
      <c r="G386">
        <v>255</v>
      </c>
      <c r="H386" t="s">
        <v>1504</v>
      </c>
    </row>
    <row r="387" spans="5:8" x14ac:dyDescent="0.2">
      <c r="E387">
        <v>158</v>
      </c>
      <c r="F387">
        <v>231</v>
      </c>
      <c r="G387">
        <v>255</v>
      </c>
      <c r="H387" t="s">
        <v>1505</v>
      </c>
    </row>
    <row r="388" spans="5:8" x14ac:dyDescent="0.2">
      <c r="E388">
        <v>101</v>
      </c>
      <c r="F388">
        <v>216</v>
      </c>
      <c r="G388">
        <v>255</v>
      </c>
      <c r="H388" t="s">
        <v>1506</v>
      </c>
    </row>
    <row r="389" spans="5:8" x14ac:dyDescent="0.2">
      <c r="E389">
        <v>0</v>
      </c>
      <c r="F389">
        <v>191</v>
      </c>
      <c r="G389">
        <v>255</v>
      </c>
      <c r="H389" t="s">
        <v>1507</v>
      </c>
    </row>
    <row r="390" spans="5:8" x14ac:dyDescent="0.2">
      <c r="E390">
        <v>184</v>
      </c>
      <c r="F390">
        <v>220</v>
      </c>
      <c r="G390">
        <v>231</v>
      </c>
      <c r="H390" t="s">
        <v>1508</v>
      </c>
    </row>
    <row r="391" spans="5:8" x14ac:dyDescent="0.2">
      <c r="E391">
        <v>139</v>
      </c>
      <c r="F391">
        <v>208</v>
      </c>
      <c r="G391">
        <v>231</v>
      </c>
      <c r="H391" t="s">
        <v>1509</v>
      </c>
    </row>
    <row r="392" spans="5:8" x14ac:dyDescent="0.2">
      <c r="E392">
        <v>81</v>
      </c>
      <c r="F392">
        <v>194</v>
      </c>
      <c r="G392">
        <v>231</v>
      </c>
      <c r="H392" t="s">
        <v>1510</v>
      </c>
    </row>
    <row r="393" spans="5:8" x14ac:dyDescent="0.2">
      <c r="E393">
        <v>0</v>
      </c>
      <c r="F393">
        <v>174</v>
      </c>
      <c r="G393">
        <v>231</v>
      </c>
      <c r="H393" t="s">
        <v>1511</v>
      </c>
    </row>
    <row r="394" spans="5:8" x14ac:dyDescent="0.2">
      <c r="E394">
        <v>125</v>
      </c>
      <c r="F394">
        <v>158</v>
      </c>
      <c r="G394">
        <v>168</v>
      </c>
      <c r="H394" t="s">
        <v>1512</v>
      </c>
    </row>
    <row r="395" spans="5:8" x14ac:dyDescent="0.2">
      <c r="E395">
        <v>74</v>
      </c>
      <c r="F395">
        <v>145</v>
      </c>
      <c r="G395">
        <v>168</v>
      </c>
      <c r="H395" t="s">
        <v>1513</v>
      </c>
    </row>
    <row r="396" spans="5:8" x14ac:dyDescent="0.2">
      <c r="E396">
        <v>0</v>
      </c>
      <c r="F396">
        <v>126</v>
      </c>
      <c r="G396">
        <v>168</v>
      </c>
      <c r="H396" t="s">
        <v>1514</v>
      </c>
    </row>
    <row r="397" spans="5:8" x14ac:dyDescent="0.2">
      <c r="E397">
        <v>66</v>
      </c>
      <c r="F397">
        <v>84</v>
      </c>
      <c r="G397">
        <v>89</v>
      </c>
      <c r="H397" t="s">
        <v>1515</v>
      </c>
    </row>
    <row r="398" spans="5:8" x14ac:dyDescent="0.2">
      <c r="E398">
        <v>39</v>
      </c>
      <c r="F398">
        <v>77</v>
      </c>
      <c r="G398">
        <v>89</v>
      </c>
      <c r="H398" t="s">
        <v>1516</v>
      </c>
    </row>
    <row r="399" spans="5:8" x14ac:dyDescent="0.2">
      <c r="E399">
        <v>0</v>
      </c>
      <c r="F399">
        <v>67</v>
      </c>
      <c r="G399">
        <v>89</v>
      </c>
      <c r="H399" t="s">
        <v>1517</v>
      </c>
    </row>
    <row r="400" spans="5:8" x14ac:dyDescent="0.2">
      <c r="E400">
        <v>194</v>
      </c>
      <c r="F400">
        <v>232</v>
      </c>
      <c r="G400">
        <v>255</v>
      </c>
      <c r="H400" t="s">
        <v>1518</v>
      </c>
    </row>
    <row r="401" spans="5:8" x14ac:dyDescent="0.2">
      <c r="E401">
        <v>158</v>
      </c>
      <c r="F401">
        <v>219</v>
      </c>
      <c r="G401">
        <v>255</v>
      </c>
      <c r="H401" t="s">
        <v>1519</v>
      </c>
    </row>
    <row r="402" spans="5:8" x14ac:dyDescent="0.2">
      <c r="E402">
        <v>101</v>
      </c>
      <c r="F402">
        <v>197</v>
      </c>
      <c r="G402">
        <v>255</v>
      </c>
      <c r="H402" t="s">
        <v>1520</v>
      </c>
    </row>
    <row r="403" spans="5:8" x14ac:dyDescent="0.2">
      <c r="E403">
        <v>0</v>
      </c>
      <c r="F403">
        <v>159</v>
      </c>
      <c r="G403">
        <v>255</v>
      </c>
      <c r="H403" t="s">
        <v>1521</v>
      </c>
    </row>
    <row r="404" spans="5:8" x14ac:dyDescent="0.2">
      <c r="E404">
        <v>139</v>
      </c>
      <c r="F404">
        <v>197</v>
      </c>
      <c r="G404">
        <v>231</v>
      </c>
      <c r="H404" t="s">
        <v>1522</v>
      </c>
    </row>
    <row r="405" spans="5:8" x14ac:dyDescent="0.2">
      <c r="E405">
        <v>81</v>
      </c>
      <c r="F405">
        <v>175</v>
      </c>
      <c r="G405">
        <v>231</v>
      </c>
      <c r="H405" t="s">
        <v>1523</v>
      </c>
    </row>
    <row r="406" spans="5:8" x14ac:dyDescent="0.2">
      <c r="E406">
        <v>0</v>
      </c>
      <c r="F406">
        <v>145</v>
      </c>
      <c r="G406">
        <v>231</v>
      </c>
      <c r="H406" t="s">
        <v>1524</v>
      </c>
    </row>
    <row r="407" spans="5:8" x14ac:dyDescent="0.2">
      <c r="E407">
        <v>74</v>
      </c>
      <c r="F407">
        <v>133</v>
      </c>
      <c r="G407">
        <v>168</v>
      </c>
      <c r="H407" t="s">
        <v>1525</v>
      </c>
    </row>
    <row r="408" spans="5:8" x14ac:dyDescent="0.2">
      <c r="E408">
        <v>0</v>
      </c>
      <c r="F408">
        <v>105</v>
      </c>
      <c r="G408">
        <v>168</v>
      </c>
      <c r="H408" t="s">
        <v>1526</v>
      </c>
    </row>
    <row r="409" spans="5:8" x14ac:dyDescent="0.2">
      <c r="E409">
        <v>39</v>
      </c>
      <c r="F409">
        <v>70</v>
      </c>
      <c r="G409">
        <v>89</v>
      </c>
      <c r="H409" t="s">
        <v>1527</v>
      </c>
    </row>
    <row r="410" spans="5:8" x14ac:dyDescent="0.2">
      <c r="E410">
        <v>0</v>
      </c>
      <c r="F410">
        <v>56</v>
      </c>
      <c r="G410">
        <v>89</v>
      </c>
      <c r="H410" t="s">
        <v>1528</v>
      </c>
    </row>
    <row r="411" spans="5:8" x14ac:dyDescent="0.2">
      <c r="E411">
        <v>226</v>
      </c>
      <c r="F411">
        <v>240</v>
      </c>
      <c r="G411">
        <v>255</v>
      </c>
      <c r="H411" t="s">
        <v>1529</v>
      </c>
    </row>
    <row r="412" spans="5:8" x14ac:dyDescent="0.2">
      <c r="E412">
        <v>194</v>
      </c>
      <c r="F412">
        <v>224</v>
      </c>
      <c r="G412">
        <v>255</v>
      </c>
      <c r="H412" t="s">
        <v>1530</v>
      </c>
    </row>
    <row r="413" spans="5:8" x14ac:dyDescent="0.2">
      <c r="E413">
        <v>158</v>
      </c>
      <c r="F413">
        <v>207</v>
      </c>
      <c r="G413">
        <v>255</v>
      </c>
      <c r="H413" t="s">
        <v>1531</v>
      </c>
    </row>
    <row r="414" spans="5:8" x14ac:dyDescent="0.2">
      <c r="E414">
        <v>101</v>
      </c>
      <c r="F414">
        <v>178</v>
      </c>
      <c r="G414">
        <v>255</v>
      </c>
      <c r="H414" t="s">
        <v>1532</v>
      </c>
    </row>
    <row r="415" spans="5:8" x14ac:dyDescent="0.2">
      <c r="E415">
        <v>0</v>
      </c>
      <c r="F415">
        <v>128</v>
      </c>
      <c r="G415">
        <v>255</v>
      </c>
      <c r="H415" t="s">
        <v>1533</v>
      </c>
    </row>
    <row r="416" spans="5:8" x14ac:dyDescent="0.2">
      <c r="E416">
        <v>184</v>
      </c>
      <c r="F416">
        <v>208</v>
      </c>
      <c r="G416">
        <v>231</v>
      </c>
      <c r="H416" t="s">
        <v>1534</v>
      </c>
    </row>
    <row r="417" spans="5:8" x14ac:dyDescent="0.2">
      <c r="E417">
        <v>139</v>
      </c>
      <c r="F417">
        <v>185</v>
      </c>
      <c r="G417">
        <v>231</v>
      </c>
      <c r="H417" t="s">
        <v>1535</v>
      </c>
    </row>
    <row r="418" spans="5:8" x14ac:dyDescent="0.2">
      <c r="E418">
        <v>81</v>
      </c>
      <c r="F418">
        <v>156</v>
      </c>
      <c r="G418">
        <v>231</v>
      </c>
      <c r="H418" t="s">
        <v>1536</v>
      </c>
    </row>
    <row r="419" spans="5:8" x14ac:dyDescent="0.2">
      <c r="E419">
        <v>0</v>
      </c>
      <c r="F419">
        <v>116</v>
      </c>
      <c r="G419">
        <v>231</v>
      </c>
      <c r="H419" t="s">
        <v>1537</v>
      </c>
    </row>
    <row r="420" spans="5:8" x14ac:dyDescent="0.2">
      <c r="E420">
        <v>125</v>
      </c>
      <c r="F420">
        <v>147</v>
      </c>
      <c r="G420">
        <v>168</v>
      </c>
      <c r="H420" t="s">
        <v>1538</v>
      </c>
    </row>
    <row r="421" spans="5:8" x14ac:dyDescent="0.2">
      <c r="E421">
        <v>74</v>
      </c>
      <c r="F421">
        <v>121</v>
      </c>
      <c r="G421">
        <v>168</v>
      </c>
      <c r="H421" t="s">
        <v>1539</v>
      </c>
    </row>
    <row r="422" spans="5:8" x14ac:dyDescent="0.2">
      <c r="E422">
        <v>0</v>
      </c>
      <c r="F422">
        <v>84</v>
      </c>
      <c r="G422">
        <v>168</v>
      </c>
      <c r="H422" t="s">
        <v>1540</v>
      </c>
    </row>
    <row r="423" spans="5:8" x14ac:dyDescent="0.2">
      <c r="E423">
        <v>66</v>
      </c>
      <c r="F423">
        <v>78</v>
      </c>
      <c r="G423">
        <v>89</v>
      </c>
      <c r="H423" t="s">
        <v>1541</v>
      </c>
    </row>
    <row r="424" spans="5:8" x14ac:dyDescent="0.2">
      <c r="E424">
        <v>39</v>
      </c>
      <c r="F424">
        <v>64</v>
      </c>
      <c r="G424">
        <v>89</v>
      </c>
      <c r="H424" t="s">
        <v>1542</v>
      </c>
    </row>
    <row r="425" spans="5:8" x14ac:dyDescent="0.2">
      <c r="E425">
        <v>0</v>
      </c>
      <c r="F425">
        <v>45</v>
      </c>
      <c r="G425">
        <v>89</v>
      </c>
      <c r="H425" t="s">
        <v>1543</v>
      </c>
    </row>
    <row r="426" spans="5:8" x14ac:dyDescent="0.2">
      <c r="E426">
        <v>17</v>
      </c>
      <c r="F426">
        <v>23</v>
      </c>
      <c r="G426">
        <v>29</v>
      </c>
      <c r="H426" t="s">
        <v>1544</v>
      </c>
    </row>
    <row r="427" spans="5:8" x14ac:dyDescent="0.2">
      <c r="E427">
        <v>0</v>
      </c>
      <c r="F427">
        <v>14</v>
      </c>
      <c r="G427">
        <v>29</v>
      </c>
      <c r="H427" t="s">
        <v>1545</v>
      </c>
    </row>
    <row r="428" spans="5:8" x14ac:dyDescent="0.2">
      <c r="E428">
        <v>194</v>
      </c>
      <c r="F428">
        <v>217</v>
      </c>
      <c r="G428">
        <v>255</v>
      </c>
      <c r="H428" t="s">
        <v>1546</v>
      </c>
    </row>
    <row r="429" spans="5:8" x14ac:dyDescent="0.2">
      <c r="E429">
        <v>158</v>
      </c>
      <c r="F429">
        <v>194</v>
      </c>
      <c r="G429">
        <v>255</v>
      </c>
      <c r="H429" t="s">
        <v>1547</v>
      </c>
    </row>
    <row r="430" spans="5:8" x14ac:dyDescent="0.2">
      <c r="E430">
        <v>101</v>
      </c>
      <c r="F430">
        <v>159</v>
      </c>
      <c r="G430">
        <v>255</v>
      </c>
      <c r="H430" t="s">
        <v>1548</v>
      </c>
    </row>
    <row r="431" spans="5:8" x14ac:dyDescent="0.2">
      <c r="E431">
        <v>0</v>
      </c>
      <c r="F431">
        <v>96</v>
      </c>
      <c r="G431">
        <v>255</v>
      </c>
      <c r="H431" t="s">
        <v>1549</v>
      </c>
    </row>
    <row r="432" spans="5:8" x14ac:dyDescent="0.2">
      <c r="E432">
        <v>139</v>
      </c>
      <c r="F432">
        <v>174</v>
      </c>
      <c r="G432">
        <v>231</v>
      </c>
      <c r="H432" t="s">
        <v>1550</v>
      </c>
    </row>
    <row r="433" spans="5:8" x14ac:dyDescent="0.2">
      <c r="E433">
        <v>81</v>
      </c>
      <c r="F433">
        <v>137</v>
      </c>
      <c r="G433">
        <v>231</v>
      </c>
      <c r="H433" t="s">
        <v>1551</v>
      </c>
    </row>
    <row r="434" spans="5:8" x14ac:dyDescent="0.2">
      <c r="E434">
        <v>0</v>
      </c>
      <c r="F434">
        <v>87</v>
      </c>
      <c r="G434">
        <v>231</v>
      </c>
      <c r="H434" t="s">
        <v>1552</v>
      </c>
    </row>
    <row r="435" spans="5:8" x14ac:dyDescent="0.2">
      <c r="E435">
        <v>74</v>
      </c>
      <c r="F435">
        <v>109</v>
      </c>
      <c r="G435">
        <v>168</v>
      </c>
      <c r="H435" t="s">
        <v>1553</v>
      </c>
    </row>
    <row r="436" spans="5:8" x14ac:dyDescent="0.2">
      <c r="E436">
        <v>0</v>
      </c>
      <c r="F436">
        <v>63</v>
      </c>
      <c r="G436">
        <v>168</v>
      </c>
      <c r="H436" t="s">
        <v>1554</v>
      </c>
    </row>
    <row r="437" spans="5:8" x14ac:dyDescent="0.2">
      <c r="E437">
        <v>39</v>
      </c>
      <c r="F437">
        <v>58</v>
      </c>
      <c r="G437">
        <v>89</v>
      </c>
      <c r="H437" t="s">
        <v>1555</v>
      </c>
    </row>
    <row r="438" spans="5:8" x14ac:dyDescent="0.2">
      <c r="E438">
        <v>0</v>
      </c>
      <c r="F438">
        <v>33</v>
      </c>
      <c r="G438">
        <v>89</v>
      </c>
      <c r="H438" t="s">
        <v>1556</v>
      </c>
    </row>
    <row r="439" spans="5:8" x14ac:dyDescent="0.2">
      <c r="E439">
        <v>226</v>
      </c>
      <c r="F439">
        <v>233</v>
      </c>
      <c r="G439">
        <v>255</v>
      </c>
      <c r="H439" t="s">
        <v>1557</v>
      </c>
    </row>
    <row r="440" spans="5:8" x14ac:dyDescent="0.2">
      <c r="E440">
        <v>194</v>
      </c>
      <c r="F440">
        <v>209</v>
      </c>
      <c r="G440">
        <v>255</v>
      </c>
      <c r="H440" t="s">
        <v>1558</v>
      </c>
    </row>
    <row r="441" spans="5:8" x14ac:dyDescent="0.2">
      <c r="E441">
        <v>158</v>
      </c>
      <c r="F441">
        <v>182</v>
      </c>
      <c r="G441">
        <v>255</v>
      </c>
      <c r="H441" t="s">
        <v>1559</v>
      </c>
    </row>
    <row r="442" spans="5:8" x14ac:dyDescent="0.2">
      <c r="E442">
        <v>101</v>
      </c>
      <c r="F442">
        <v>139</v>
      </c>
      <c r="G442">
        <v>255</v>
      </c>
      <c r="H442" t="s">
        <v>1560</v>
      </c>
    </row>
    <row r="443" spans="5:8" x14ac:dyDescent="0.2">
      <c r="E443">
        <v>0</v>
      </c>
      <c r="F443">
        <v>64</v>
      </c>
      <c r="G443">
        <v>255</v>
      </c>
      <c r="H443" t="s">
        <v>1561</v>
      </c>
    </row>
    <row r="444" spans="5:8" x14ac:dyDescent="0.2">
      <c r="E444">
        <v>184</v>
      </c>
      <c r="F444">
        <v>196</v>
      </c>
      <c r="G444">
        <v>231</v>
      </c>
      <c r="H444" t="s">
        <v>1562</v>
      </c>
    </row>
    <row r="445" spans="5:8" x14ac:dyDescent="0.2">
      <c r="E445">
        <v>139</v>
      </c>
      <c r="F445">
        <v>162</v>
      </c>
      <c r="G445">
        <v>231</v>
      </c>
      <c r="H445" t="s">
        <v>1563</v>
      </c>
    </row>
    <row r="446" spans="5:8" x14ac:dyDescent="0.2">
      <c r="E446">
        <v>81</v>
      </c>
      <c r="F446">
        <v>119</v>
      </c>
      <c r="G446">
        <v>231</v>
      </c>
      <c r="H446" t="s">
        <v>1564</v>
      </c>
    </row>
    <row r="447" spans="5:8" x14ac:dyDescent="0.2">
      <c r="E447">
        <v>0</v>
      </c>
      <c r="F447">
        <v>58</v>
      </c>
      <c r="G447">
        <v>231</v>
      </c>
      <c r="H447" t="s">
        <v>1565</v>
      </c>
    </row>
    <row r="448" spans="5:8" x14ac:dyDescent="0.2">
      <c r="E448">
        <v>125</v>
      </c>
      <c r="F448">
        <v>136</v>
      </c>
      <c r="G448">
        <v>168</v>
      </c>
      <c r="H448" t="s">
        <v>1566</v>
      </c>
    </row>
    <row r="449" spans="5:8" x14ac:dyDescent="0.2">
      <c r="E449">
        <v>74</v>
      </c>
      <c r="F449">
        <v>97</v>
      </c>
      <c r="G449">
        <v>168</v>
      </c>
      <c r="H449" t="s">
        <v>1567</v>
      </c>
    </row>
    <row r="450" spans="5:8" x14ac:dyDescent="0.2">
      <c r="E450">
        <v>0</v>
      </c>
      <c r="F450">
        <v>42</v>
      </c>
      <c r="G450">
        <v>168</v>
      </c>
      <c r="H450" t="s">
        <v>1568</v>
      </c>
    </row>
    <row r="451" spans="5:8" x14ac:dyDescent="0.2">
      <c r="E451">
        <v>66</v>
      </c>
      <c r="F451">
        <v>72</v>
      </c>
      <c r="G451">
        <v>89</v>
      </c>
      <c r="H451" t="s">
        <v>1569</v>
      </c>
    </row>
    <row r="452" spans="5:8" x14ac:dyDescent="0.2">
      <c r="E452">
        <v>39</v>
      </c>
      <c r="F452">
        <v>52</v>
      </c>
      <c r="G452">
        <v>89</v>
      </c>
      <c r="H452" t="s">
        <v>1570</v>
      </c>
    </row>
    <row r="453" spans="5:8" x14ac:dyDescent="0.2">
      <c r="E453">
        <v>0</v>
      </c>
      <c r="F453">
        <v>22</v>
      </c>
      <c r="G453">
        <v>89</v>
      </c>
      <c r="H453" t="s">
        <v>1571</v>
      </c>
    </row>
    <row r="454" spans="5:8" x14ac:dyDescent="0.2">
      <c r="E454">
        <v>194</v>
      </c>
      <c r="F454">
        <v>201</v>
      </c>
      <c r="G454">
        <v>255</v>
      </c>
      <c r="H454" t="s">
        <v>1572</v>
      </c>
    </row>
    <row r="455" spans="5:8" x14ac:dyDescent="0.2">
      <c r="E455">
        <v>158</v>
      </c>
      <c r="F455">
        <v>170</v>
      </c>
      <c r="G455">
        <v>255</v>
      </c>
      <c r="H455" t="s">
        <v>1573</v>
      </c>
    </row>
    <row r="456" spans="5:8" x14ac:dyDescent="0.2">
      <c r="E456">
        <v>101</v>
      </c>
      <c r="F456">
        <v>120</v>
      </c>
      <c r="G456">
        <v>255</v>
      </c>
      <c r="H456" t="s">
        <v>1574</v>
      </c>
    </row>
    <row r="457" spans="5:8" x14ac:dyDescent="0.2">
      <c r="E457">
        <v>0</v>
      </c>
      <c r="F457">
        <v>32</v>
      </c>
      <c r="G457">
        <v>255</v>
      </c>
      <c r="H457" t="s">
        <v>1575</v>
      </c>
    </row>
    <row r="458" spans="5:8" x14ac:dyDescent="0.2">
      <c r="E458">
        <v>139</v>
      </c>
      <c r="F458">
        <v>150</v>
      </c>
      <c r="G458">
        <v>231</v>
      </c>
      <c r="H458" t="s">
        <v>1576</v>
      </c>
    </row>
    <row r="459" spans="5:8" x14ac:dyDescent="0.2">
      <c r="E459">
        <v>81</v>
      </c>
      <c r="F459">
        <v>100</v>
      </c>
      <c r="G459">
        <v>231</v>
      </c>
      <c r="H459" t="s">
        <v>1577</v>
      </c>
    </row>
    <row r="460" spans="5:8" x14ac:dyDescent="0.2">
      <c r="E460">
        <v>0</v>
      </c>
      <c r="F460">
        <v>29</v>
      </c>
      <c r="G460">
        <v>231</v>
      </c>
      <c r="H460" t="s">
        <v>1578</v>
      </c>
    </row>
    <row r="461" spans="5:8" x14ac:dyDescent="0.2">
      <c r="E461">
        <v>74</v>
      </c>
      <c r="F461">
        <v>85</v>
      </c>
      <c r="G461">
        <v>168</v>
      </c>
      <c r="H461" t="s">
        <v>1579</v>
      </c>
    </row>
    <row r="462" spans="5:8" x14ac:dyDescent="0.2">
      <c r="E462">
        <v>0</v>
      </c>
      <c r="F462">
        <v>21</v>
      </c>
      <c r="G462">
        <v>168</v>
      </c>
      <c r="H462" t="s">
        <v>1580</v>
      </c>
    </row>
    <row r="463" spans="5:8" x14ac:dyDescent="0.2">
      <c r="E463">
        <v>39</v>
      </c>
      <c r="F463">
        <v>45</v>
      </c>
      <c r="G463">
        <v>89</v>
      </c>
      <c r="H463" t="s">
        <v>1581</v>
      </c>
    </row>
    <row r="464" spans="5:8" x14ac:dyDescent="0.2">
      <c r="E464">
        <v>0</v>
      </c>
      <c r="F464">
        <v>11</v>
      </c>
      <c r="G464">
        <v>89</v>
      </c>
      <c r="H464" t="s">
        <v>1582</v>
      </c>
    </row>
    <row r="465" spans="5:8" x14ac:dyDescent="0.2">
      <c r="E465">
        <v>246</v>
      </c>
      <c r="F465">
        <v>246</v>
      </c>
      <c r="G465">
        <v>255</v>
      </c>
      <c r="H465" t="s">
        <v>1583</v>
      </c>
    </row>
    <row r="466" spans="5:8" x14ac:dyDescent="0.2">
      <c r="E466">
        <v>226</v>
      </c>
      <c r="F466">
        <v>226</v>
      </c>
      <c r="G466">
        <v>255</v>
      </c>
      <c r="H466" t="s">
        <v>1584</v>
      </c>
    </row>
    <row r="467" spans="5:8" x14ac:dyDescent="0.2">
      <c r="E467">
        <v>194</v>
      </c>
      <c r="F467">
        <v>194</v>
      </c>
      <c r="G467">
        <v>255</v>
      </c>
      <c r="H467" t="s">
        <v>1585</v>
      </c>
    </row>
    <row r="468" spans="5:8" x14ac:dyDescent="0.2">
      <c r="E468">
        <v>158</v>
      </c>
      <c r="F468">
        <v>158</v>
      </c>
      <c r="G468">
        <v>255</v>
      </c>
      <c r="H468" t="s">
        <v>1586</v>
      </c>
    </row>
    <row r="469" spans="5:8" x14ac:dyDescent="0.2">
      <c r="E469">
        <v>101</v>
      </c>
      <c r="F469">
        <v>101</v>
      </c>
      <c r="G469">
        <v>255</v>
      </c>
      <c r="H469" t="s">
        <v>1587</v>
      </c>
    </row>
    <row r="470" spans="5:8" x14ac:dyDescent="0.2">
      <c r="E470">
        <v>0</v>
      </c>
      <c r="F470">
        <v>0</v>
      </c>
      <c r="G470">
        <v>255</v>
      </c>
      <c r="H470" t="s">
        <v>1588</v>
      </c>
    </row>
    <row r="471" spans="5:8" x14ac:dyDescent="0.2">
      <c r="E471">
        <v>218</v>
      </c>
      <c r="F471">
        <v>218</v>
      </c>
      <c r="G471">
        <v>231</v>
      </c>
      <c r="H471" t="s">
        <v>1589</v>
      </c>
    </row>
    <row r="472" spans="5:8" x14ac:dyDescent="0.2">
      <c r="E472">
        <v>184</v>
      </c>
      <c r="F472">
        <v>184</v>
      </c>
      <c r="G472">
        <v>231</v>
      </c>
      <c r="H472" t="s">
        <v>1590</v>
      </c>
    </row>
    <row r="473" spans="5:8" x14ac:dyDescent="0.2">
      <c r="E473">
        <v>139</v>
      </c>
      <c r="F473">
        <v>139</v>
      </c>
      <c r="G473">
        <v>231</v>
      </c>
      <c r="H473" t="s">
        <v>1591</v>
      </c>
    </row>
    <row r="474" spans="5:8" x14ac:dyDescent="0.2">
      <c r="E474">
        <v>81</v>
      </c>
      <c r="F474">
        <v>81</v>
      </c>
      <c r="G474">
        <v>231</v>
      </c>
      <c r="H474" t="s">
        <v>1592</v>
      </c>
    </row>
    <row r="475" spans="5:8" x14ac:dyDescent="0.2">
      <c r="E475">
        <v>0</v>
      </c>
      <c r="F475">
        <v>0</v>
      </c>
      <c r="G475">
        <v>231</v>
      </c>
      <c r="H475" t="s">
        <v>1593</v>
      </c>
    </row>
    <row r="476" spans="5:8" x14ac:dyDescent="0.2">
      <c r="E476">
        <v>156</v>
      </c>
      <c r="F476">
        <v>156</v>
      </c>
      <c r="G476">
        <v>168</v>
      </c>
      <c r="H476" t="s">
        <v>1594</v>
      </c>
    </row>
    <row r="477" spans="5:8" x14ac:dyDescent="0.2">
      <c r="E477">
        <v>125</v>
      </c>
      <c r="F477">
        <v>125</v>
      </c>
      <c r="G477">
        <v>168</v>
      </c>
      <c r="H477" t="s">
        <v>1595</v>
      </c>
    </row>
    <row r="478" spans="5:8" x14ac:dyDescent="0.2">
      <c r="E478">
        <v>74</v>
      </c>
      <c r="F478">
        <v>74</v>
      </c>
      <c r="G478">
        <v>168</v>
      </c>
      <c r="H478" t="s">
        <v>1596</v>
      </c>
    </row>
    <row r="479" spans="5:8" x14ac:dyDescent="0.2">
      <c r="E479">
        <v>0</v>
      </c>
      <c r="F479">
        <v>0</v>
      </c>
      <c r="G479">
        <v>168</v>
      </c>
      <c r="H479" t="s">
        <v>1597</v>
      </c>
    </row>
    <row r="480" spans="5:8" x14ac:dyDescent="0.2">
      <c r="E480">
        <v>83</v>
      </c>
      <c r="F480">
        <v>83</v>
      </c>
      <c r="G480">
        <v>89</v>
      </c>
      <c r="H480" t="s">
        <v>1598</v>
      </c>
    </row>
    <row r="481" spans="5:8" x14ac:dyDescent="0.2">
      <c r="E481">
        <v>66</v>
      </c>
      <c r="F481">
        <v>66</v>
      </c>
      <c r="G481">
        <v>89</v>
      </c>
      <c r="H481" t="s">
        <v>1599</v>
      </c>
    </row>
    <row r="482" spans="5:8" x14ac:dyDescent="0.2">
      <c r="E482">
        <v>39</v>
      </c>
      <c r="F482">
        <v>39</v>
      </c>
      <c r="G482">
        <v>89</v>
      </c>
      <c r="H482" t="s">
        <v>1600</v>
      </c>
    </row>
    <row r="483" spans="5:8" x14ac:dyDescent="0.2">
      <c r="E483">
        <v>0</v>
      </c>
      <c r="F483">
        <v>0</v>
      </c>
      <c r="G483">
        <v>89</v>
      </c>
      <c r="H483" t="s">
        <v>1601</v>
      </c>
    </row>
    <row r="484" spans="5:8" x14ac:dyDescent="0.2">
      <c r="E484">
        <v>26</v>
      </c>
      <c r="F484">
        <v>26</v>
      </c>
      <c r="G484">
        <v>29</v>
      </c>
      <c r="H484" t="s">
        <v>1602</v>
      </c>
    </row>
    <row r="485" spans="5:8" x14ac:dyDescent="0.2">
      <c r="E485">
        <v>17</v>
      </c>
      <c r="F485">
        <v>17</v>
      </c>
      <c r="G485">
        <v>29</v>
      </c>
      <c r="H485" t="s">
        <v>1603</v>
      </c>
    </row>
    <row r="486" spans="5:8" x14ac:dyDescent="0.2">
      <c r="E486">
        <v>0</v>
      </c>
      <c r="F486">
        <v>0</v>
      </c>
      <c r="G486">
        <v>29</v>
      </c>
      <c r="H486" t="s">
        <v>1604</v>
      </c>
    </row>
    <row r="487" spans="5:8" x14ac:dyDescent="0.2">
      <c r="E487">
        <v>201</v>
      </c>
      <c r="F487">
        <v>194</v>
      </c>
      <c r="G487">
        <v>255</v>
      </c>
      <c r="H487" t="s">
        <v>1605</v>
      </c>
    </row>
    <row r="488" spans="5:8" x14ac:dyDescent="0.2">
      <c r="E488">
        <v>170</v>
      </c>
      <c r="F488">
        <v>158</v>
      </c>
      <c r="G488">
        <v>255</v>
      </c>
      <c r="H488" t="s">
        <v>1606</v>
      </c>
    </row>
    <row r="489" spans="5:8" x14ac:dyDescent="0.2">
      <c r="E489">
        <v>120</v>
      </c>
      <c r="F489">
        <v>101</v>
      </c>
      <c r="G489">
        <v>255</v>
      </c>
      <c r="H489" t="s">
        <v>1607</v>
      </c>
    </row>
    <row r="490" spans="5:8" x14ac:dyDescent="0.2">
      <c r="E490">
        <v>32</v>
      </c>
      <c r="F490">
        <v>0</v>
      </c>
      <c r="G490">
        <v>255</v>
      </c>
      <c r="H490" t="s">
        <v>1608</v>
      </c>
    </row>
    <row r="491" spans="5:8" x14ac:dyDescent="0.2">
      <c r="E491">
        <v>150</v>
      </c>
      <c r="F491">
        <v>139</v>
      </c>
      <c r="G491">
        <v>231</v>
      </c>
      <c r="H491" t="s">
        <v>1609</v>
      </c>
    </row>
    <row r="492" spans="5:8" x14ac:dyDescent="0.2">
      <c r="E492">
        <v>100</v>
      </c>
      <c r="F492">
        <v>81</v>
      </c>
      <c r="G492">
        <v>231</v>
      </c>
      <c r="H492" t="s">
        <v>1610</v>
      </c>
    </row>
    <row r="493" spans="5:8" x14ac:dyDescent="0.2">
      <c r="E493">
        <v>29</v>
      </c>
      <c r="F493">
        <v>0</v>
      </c>
      <c r="G493">
        <v>231</v>
      </c>
      <c r="H493" t="s">
        <v>1611</v>
      </c>
    </row>
    <row r="494" spans="5:8" x14ac:dyDescent="0.2">
      <c r="E494">
        <v>85</v>
      </c>
      <c r="F494">
        <v>74</v>
      </c>
      <c r="G494">
        <v>168</v>
      </c>
      <c r="H494" t="s">
        <v>1612</v>
      </c>
    </row>
    <row r="495" spans="5:8" x14ac:dyDescent="0.2">
      <c r="E495">
        <v>21</v>
      </c>
      <c r="F495">
        <v>0</v>
      </c>
      <c r="G495">
        <v>168</v>
      </c>
      <c r="H495" t="s">
        <v>1613</v>
      </c>
    </row>
    <row r="496" spans="5:8" x14ac:dyDescent="0.2">
      <c r="E496">
        <v>45</v>
      </c>
      <c r="F496">
        <v>39</v>
      </c>
      <c r="G496">
        <v>89</v>
      </c>
      <c r="H496" t="s">
        <v>1614</v>
      </c>
    </row>
    <row r="497" spans="5:8" x14ac:dyDescent="0.2">
      <c r="E497">
        <v>11</v>
      </c>
      <c r="F497">
        <v>0</v>
      </c>
      <c r="G497">
        <v>89</v>
      </c>
      <c r="H497" t="s">
        <v>1615</v>
      </c>
    </row>
    <row r="498" spans="5:8" x14ac:dyDescent="0.2">
      <c r="E498">
        <v>233</v>
      </c>
      <c r="F498">
        <v>226</v>
      </c>
      <c r="G498">
        <v>255</v>
      </c>
      <c r="H498" t="s">
        <v>1616</v>
      </c>
    </row>
    <row r="499" spans="5:8" x14ac:dyDescent="0.2">
      <c r="E499">
        <v>209</v>
      </c>
      <c r="F499">
        <v>194</v>
      </c>
      <c r="G499">
        <v>255</v>
      </c>
      <c r="H499" t="s">
        <v>1617</v>
      </c>
    </row>
    <row r="500" spans="5:8" x14ac:dyDescent="0.2">
      <c r="E500">
        <v>182</v>
      </c>
      <c r="F500">
        <v>158</v>
      </c>
      <c r="G500">
        <v>255</v>
      </c>
      <c r="H500" t="s">
        <v>1618</v>
      </c>
    </row>
    <row r="501" spans="5:8" x14ac:dyDescent="0.2">
      <c r="E501">
        <v>139</v>
      </c>
      <c r="F501">
        <v>101</v>
      </c>
      <c r="G501">
        <v>255</v>
      </c>
      <c r="H501" t="s">
        <v>1619</v>
      </c>
    </row>
    <row r="502" spans="5:8" x14ac:dyDescent="0.2">
      <c r="E502">
        <v>64</v>
      </c>
      <c r="F502">
        <v>0</v>
      </c>
      <c r="G502">
        <v>255</v>
      </c>
      <c r="H502" t="s">
        <v>1620</v>
      </c>
    </row>
    <row r="503" spans="5:8" x14ac:dyDescent="0.2">
      <c r="E503">
        <v>196</v>
      </c>
      <c r="F503">
        <v>184</v>
      </c>
      <c r="G503">
        <v>231</v>
      </c>
      <c r="H503" t="s">
        <v>1621</v>
      </c>
    </row>
    <row r="504" spans="5:8" x14ac:dyDescent="0.2">
      <c r="E504">
        <v>162</v>
      </c>
      <c r="F504">
        <v>139</v>
      </c>
      <c r="G504">
        <v>231</v>
      </c>
      <c r="H504" t="s">
        <v>1622</v>
      </c>
    </row>
    <row r="505" spans="5:8" x14ac:dyDescent="0.2">
      <c r="E505">
        <v>119</v>
      </c>
      <c r="F505">
        <v>81</v>
      </c>
      <c r="G505">
        <v>231</v>
      </c>
      <c r="H505" t="s">
        <v>1623</v>
      </c>
    </row>
    <row r="506" spans="5:8" x14ac:dyDescent="0.2">
      <c r="E506">
        <v>58</v>
      </c>
      <c r="F506">
        <v>0</v>
      </c>
      <c r="G506">
        <v>231</v>
      </c>
      <c r="H506" t="s">
        <v>1624</v>
      </c>
    </row>
    <row r="507" spans="5:8" x14ac:dyDescent="0.2">
      <c r="E507">
        <v>136</v>
      </c>
      <c r="F507">
        <v>125</v>
      </c>
      <c r="G507">
        <v>168</v>
      </c>
      <c r="H507" t="s">
        <v>1625</v>
      </c>
    </row>
    <row r="508" spans="5:8" x14ac:dyDescent="0.2">
      <c r="E508">
        <v>97</v>
      </c>
      <c r="F508">
        <v>74</v>
      </c>
      <c r="G508">
        <v>168</v>
      </c>
      <c r="H508" t="s">
        <v>1626</v>
      </c>
    </row>
    <row r="509" spans="5:8" x14ac:dyDescent="0.2">
      <c r="E509">
        <v>42</v>
      </c>
      <c r="F509">
        <v>0</v>
      </c>
      <c r="G509">
        <v>168</v>
      </c>
      <c r="H509" t="s">
        <v>1627</v>
      </c>
    </row>
    <row r="510" spans="5:8" x14ac:dyDescent="0.2">
      <c r="E510">
        <v>72</v>
      </c>
      <c r="F510">
        <v>66</v>
      </c>
      <c r="G510">
        <v>89</v>
      </c>
      <c r="H510" t="s">
        <v>1628</v>
      </c>
    </row>
    <row r="511" spans="5:8" x14ac:dyDescent="0.2">
      <c r="E511">
        <v>52</v>
      </c>
      <c r="F511">
        <v>39</v>
      </c>
      <c r="G511">
        <v>89</v>
      </c>
      <c r="H511" t="s">
        <v>1629</v>
      </c>
    </row>
    <row r="512" spans="5:8" x14ac:dyDescent="0.2">
      <c r="E512">
        <v>22</v>
      </c>
      <c r="F512">
        <v>0</v>
      </c>
      <c r="G512">
        <v>89</v>
      </c>
      <c r="H512" t="s">
        <v>1630</v>
      </c>
    </row>
    <row r="513" spans="5:8" x14ac:dyDescent="0.2">
      <c r="E513">
        <v>217</v>
      </c>
      <c r="F513">
        <v>194</v>
      </c>
      <c r="G513">
        <v>255</v>
      </c>
      <c r="H513" t="s">
        <v>1631</v>
      </c>
    </row>
    <row r="514" spans="5:8" x14ac:dyDescent="0.2">
      <c r="E514">
        <v>194</v>
      </c>
      <c r="F514">
        <v>158</v>
      </c>
      <c r="G514">
        <v>255</v>
      </c>
      <c r="H514" t="s">
        <v>1632</v>
      </c>
    </row>
    <row r="515" spans="5:8" x14ac:dyDescent="0.2">
      <c r="E515">
        <v>159</v>
      </c>
      <c r="F515">
        <v>101</v>
      </c>
      <c r="G515">
        <v>255</v>
      </c>
      <c r="H515" t="s">
        <v>1633</v>
      </c>
    </row>
    <row r="516" spans="5:8" x14ac:dyDescent="0.2">
      <c r="E516">
        <v>96</v>
      </c>
      <c r="F516">
        <v>0</v>
      </c>
      <c r="G516">
        <v>255</v>
      </c>
      <c r="H516" t="s">
        <v>1634</v>
      </c>
    </row>
    <row r="517" spans="5:8" x14ac:dyDescent="0.2">
      <c r="E517">
        <v>174</v>
      </c>
      <c r="F517">
        <v>139</v>
      </c>
      <c r="G517">
        <v>231</v>
      </c>
      <c r="H517" t="s">
        <v>1635</v>
      </c>
    </row>
    <row r="518" spans="5:8" x14ac:dyDescent="0.2">
      <c r="E518">
        <v>137</v>
      </c>
      <c r="F518">
        <v>81</v>
      </c>
      <c r="G518">
        <v>231</v>
      </c>
      <c r="H518" t="s">
        <v>1636</v>
      </c>
    </row>
    <row r="519" spans="5:8" x14ac:dyDescent="0.2">
      <c r="E519">
        <v>87</v>
      </c>
      <c r="F519">
        <v>0</v>
      </c>
      <c r="G519">
        <v>231</v>
      </c>
      <c r="H519" t="s">
        <v>1637</v>
      </c>
    </row>
    <row r="520" spans="5:8" x14ac:dyDescent="0.2">
      <c r="E520">
        <v>109</v>
      </c>
      <c r="F520">
        <v>74</v>
      </c>
      <c r="G520">
        <v>168</v>
      </c>
      <c r="H520" t="s">
        <v>1638</v>
      </c>
    </row>
    <row r="521" spans="5:8" x14ac:dyDescent="0.2">
      <c r="E521">
        <v>63</v>
      </c>
      <c r="F521">
        <v>0</v>
      </c>
      <c r="G521">
        <v>168</v>
      </c>
      <c r="H521" t="s">
        <v>1639</v>
      </c>
    </row>
    <row r="522" spans="5:8" x14ac:dyDescent="0.2">
      <c r="E522">
        <v>58</v>
      </c>
      <c r="F522">
        <v>39</v>
      </c>
      <c r="G522">
        <v>89</v>
      </c>
      <c r="H522" t="s">
        <v>1640</v>
      </c>
    </row>
    <row r="523" spans="5:8" x14ac:dyDescent="0.2">
      <c r="E523">
        <v>33</v>
      </c>
      <c r="F523">
        <v>0</v>
      </c>
      <c r="G523">
        <v>89</v>
      </c>
      <c r="H523" t="s">
        <v>1641</v>
      </c>
    </row>
    <row r="524" spans="5:8" x14ac:dyDescent="0.2">
      <c r="E524">
        <v>240</v>
      </c>
      <c r="F524">
        <v>226</v>
      </c>
      <c r="G524">
        <v>255</v>
      </c>
      <c r="H524" t="s">
        <v>1642</v>
      </c>
    </row>
    <row r="525" spans="5:8" x14ac:dyDescent="0.2">
      <c r="E525">
        <v>224</v>
      </c>
      <c r="F525">
        <v>194</v>
      </c>
      <c r="G525">
        <v>255</v>
      </c>
      <c r="H525" t="s">
        <v>1643</v>
      </c>
    </row>
    <row r="526" spans="5:8" x14ac:dyDescent="0.2">
      <c r="E526">
        <v>207</v>
      </c>
      <c r="F526">
        <v>158</v>
      </c>
      <c r="G526">
        <v>255</v>
      </c>
      <c r="H526" t="s">
        <v>1644</v>
      </c>
    </row>
    <row r="527" spans="5:8" x14ac:dyDescent="0.2">
      <c r="E527">
        <v>178</v>
      </c>
      <c r="F527">
        <v>101</v>
      </c>
      <c r="G527">
        <v>255</v>
      </c>
      <c r="H527" t="s">
        <v>1645</v>
      </c>
    </row>
    <row r="528" spans="5:8" x14ac:dyDescent="0.2">
      <c r="E528">
        <v>128</v>
      </c>
      <c r="F528">
        <v>0</v>
      </c>
      <c r="G528">
        <v>255</v>
      </c>
      <c r="H528" t="s">
        <v>1646</v>
      </c>
    </row>
    <row r="529" spans="5:8" x14ac:dyDescent="0.2">
      <c r="E529">
        <v>208</v>
      </c>
      <c r="F529">
        <v>184</v>
      </c>
      <c r="G529">
        <v>231</v>
      </c>
      <c r="H529" t="s">
        <v>1647</v>
      </c>
    </row>
    <row r="530" spans="5:8" x14ac:dyDescent="0.2">
      <c r="E530">
        <v>185</v>
      </c>
      <c r="F530">
        <v>139</v>
      </c>
      <c r="G530">
        <v>231</v>
      </c>
      <c r="H530" t="s">
        <v>1648</v>
      </c>
    </row>
    <row r="531" spans="5:8" x14ac:dyDescent="0.2">
      <c r="E531">
        <v>156</v>
      </c>
      <c r="F531">
        <v>81</v>
      </c>
      <c r="G531">
        <v>231</v>
      </c>
      <c r="H531" t="s">
        <v>1649</v>
      </c>
    </row>
    <row r="532" spans="5:8" x14ac:dyDescent="0.2">
      <c r="E532">
        <v>116</v>
      </c>
      <c r="F532">
        <v>0</v>
      </c>
      <c r="G532">
        <v>231</v>
      </c>
      <c r="H532" t="s">
        <v>1650</v>
      </c>
    </row>
    <row r="533" spans="5:8" x14ac:dyDescent="0.2">
      <c r="E533">
        <v>147</v>
      </c>
      <c r="F533">
        <v>125</v>
      </c>
      <c r="G533">
        <v>168</v>
      </c>
      <c r="H533" t="s">
        <v>1651</v>
      </c>
    </row>
    <row r="534" spans="5:8" x14ac:dyDescent="0.2">
      <c r="E534">
        <v>121</v>
      </c>
      <c r="F534">
        <v>74</v>
      </c>
      <c r="G534">
        <v>168</v>
      </c>
      <c r="H534" t="s">
        <v>1652</v>
      </c>
    </row>
    <row r="535" spans="5:8" x14ac:dyDescent="0.2">
      <c r="E535">
        <v>84</v>
      </c>
      <c r="F535">
        <v>0</v>
      </c>
      <c r="G535">
        <v>168</v>
      </c>
      <c r="H535" t="s">
        <v>1653</v>
      </c>
    </row>
    <row r="536" spans="5:8" x14ac:dyDescent="0.2">
      <c r="E536">
        <v>78</v>
      </c>
      <c r="F536">
        <v>66</v>
      </c>
      <c r="G536">
        <v>89</v>
      </c>
      <c r="H536" t="s">
        <v>1654</v>
      </c>
    </row>
    <row r="537" spans="5:8" x14ac:dyDescent="0.2">
      <c r="E537">
        <v>64</v>
      </c>
      <c r="F537">
        <v>39</v>
      </c>
      <c r="G537">
        <v>89</v>
      </c>
      <c r="H537" t="s">
        <v>1655</v>
      </c>
    </row>
    <row r="538" spans="5:8" x14ac:dyDescent="0.2">
      <c r="E538">
        <v>45</v>
      </c>
      <c r="F538">
        <v>0</v>
      </c>
      <c r="G538">
        <v>89</v>
      </c>
      <c r="H538" t="s">
        <v>1656</v>
      </c>
    </row>
    <row r="539" spans="5:8" x14ac:dyDescent="0.2">
      <c r="E539">
        <v>23</v>
      </c>
      <c r="F539">
        <v>17</v>
      </c>
      <c r="G539">
        <v>29</v>
      </c>
      <c r="H539" t="s">
        <v>1657</v>
      </c>
    </row>
    <row r="540" spans="5:8" x14ac:dyDescent="0.2">
      <c r="E540">
        <v>14</v>
      </c>
      <c r="F540">
        <v>0</v>
      </c>
      <c r="G540">
        <v>29</v>
      </c>
      <c r="H540" t="s">
        <v>1658</v>
      </c>
    </row>
    <row r="541" spans="5:8" x14ac:dyDescent="0.2">
      <c r="E541">
        <v>232</v>
      </c>
      <c r="F541">
        <v>194</v>
      </c>
      <c r="G541">
        <v>255</v>
      </c>
      <c r="H541" t="s">
        <v>1659</v>
      </c>
    </row>
    <row r="542" spans="5:8" x14ac:dyDescent="0.2">
      <c r="E542">
        <v>219</v>
      </c>
      <c r="F542">
        <v>158</v>
      </c>
      <c r="G542">
        <v>255</v>
      </c>
      <c r="H542" t="s">
        <v>1660</v>
      </c>
    </row>
    <row r="543" spans="5:8" x14ac:dyDescent="0.2">
      <c r="E543">
        <v>197</v>
      </c>
      <c r="F543">
        <v>101</v>
      </c>
      <c r="G543">
        <v>255</v>
      </c>
      <c r="H543" t="s">
        <v>1661</v>
      </c>
    </row>
    <row r="544" spans="5:8" x14ac:dyDescent="0.2">
      <c r="E544">
        <v>159</v>
      </c>
      <c r="F544">
        <v>0</v>
      </c>
      <c r="G544">
        <v>255</v>
      </c>
      <c r="H544" t="s">
        <v>1662</v>
      </c>
    </row>
    <row r="545" spans="5:8" x14ac:dyDescent="0.2">
      <c r="E545">
        <v>197</v>
      </c>
      <c r="F545">
        <v>139</v>
      </c>
      <c r="G545">
        <v>231</v>
      </c>
      <c r="H545" t="s">
        <v>1663</v>
      </c>
    </row>
    <row r="546" spans="5:8" x14ac:dyDescent="0.2">
      <c r="E546">
        <v>175</v>
      </c>
      <c r="F546">
        <v>81</v>
      </c>
      <c r="G546">
        <v>231</v>
      </c>
      <c r="H546" t="s">
        <v>1664</v>
      </c>
    </row>
    <row r="547" spans="5:8" x14ac:dyDescent="0.2">
      <c r="E547">
        <v>145</v>
      </c>
      <c r="F547">
        <v>0</v>
      </c>
      <c r="G547">
        <v>231</v>
      </c>
      <c r="H547" t="s">
        <v>1665</v>
      </c>
    </row>
    <row r="548" spans="5:8" x14ac:dyDescent="0.2">
      <c r="E548">
        <v>133</v>
      </c>
      <c r="F548">
        <v>74</v>
      </c>
      <c r="G548">
        <v>168</v>
      </c>
      <c r="H548" t="s">
        <v>1666</v>
      </c>
    </row>
    <row r="549" spans="5:8" x14ac:dyDescent="0.2">
      <c r="E549">
        <v>105</v>
      </c>
      <c r="F549">
        <v>0</v>
      </c>
      <c r="G549">
        <v>168</v>
      </c>
      <c r="H549" t="s">
        <v>1667</v>
      </c>
    </row>
    <row r="550" spans="5:8" x14ac:dyDescent="0.2">
      <c r="E550">
        <v>70</v>
      </c>
      <c r="F550">
        <v>39</v>
      </c>
      <c r="G550">
        <v>89</v>
      </c>
      <c r="H550" t="s">
        <v>1668</v>
      </c>
    </row>
    <row r="551" spans="5:8" x14ac:dyDescent="0.2">
      <c r="E551">
        <v>56</v>
      </c>
      <c r="F551">
        <v>0</v>
      </c>
      <c r="G551">
        <v>89</v>
      </c>
      <c r="H551" t="s">
        <v>1669</v>
      </c>
    </row>
    <row r="552" spans="5:8" x14ac:dyDescent="0.2">
      <c r="E552">
        <v>248</v>
      </c>
      <c r="F552">
        <v>226</v>
      </c>
      <c r="G552">
        <v>255</v>
      </c>
      <c r="H552" t="s">
        <v>1670</v>
      </c>
    </row>
    <row r="553" spans="5:8" x14ac:dyDescent="0.2">
      <c r="E553">
        <v>240</v>
      </c>
      <c r="F553">
        <v>194</v>
      </c>
      <c r="G553">
        <v>255</v>
      </c>
      <c r="H553" t="s">
        <v>1671</v>
      </c>
    </row>
    <row r="554" spans="5:8" x14ac:dyDescent="0.2">
      <c r="E554">
        <v>231</v>
      </c>
      <c r="F554">
        <v>158</v>
      </c>
      <c r="G554">
        <v>255</v>
      </c>
      <c r="H554" t="s">
        <v>1672</v>
      </c>
    </row>
    <row r="555" spans="5:8" x14ac:dyDescent="0.2">
      <c r="E555">
        <v>216</v>
      </c>
      <c r="F555">
        <v>101</v>
      </c>
      <c r="G555">
        <v>255</v>
      </c>
      <c r="H555" t="s">
        <v>1673</v>
      </c>
    </row>
    <row r="556" spans="5:8" x14ac:dyDescent="0.2">
      <c r="E556">
        <v>191</v>
      </c>
      <c r="F556">
        <v>0</v>
      </c>
      <c r="G556">
        <v>255</v>
      </c>
      <c r="H556" t="s">
        <v>1674</v>
      </c>
    </row>
    <row r="557" spans="5:8" x14ac:dyDescent="0.2">
      <c r="E557">
        <v>220</v>
      </c>
      <c r="F557">
        <v>184</v>
      </c>
      <c r="G557">
        <v>231</v>
      </c>
      <c r="H557" t="s">
        <v>1675</v>
      </c>
    </row>
    <row r="558" spans="5:8" x14ac:dyDescent="0.2">
      <c r="E558">
        <v>208</v>
      </c>
      <c r="F558">
        <v>139</v>
      </c>
      <c r="G558">
        <v>231</v>
      </c>
      <c r="H558" t="s">
        <v>1676</v>
      </c>
    </row>
    <row r="559" spans="5:8" x14ac:dyDescent="0.2">
      <c r="E559">
        <v>194</v>
      </c>
      <c r="F559">
        <v>81</v>
      </c>
      <c r="G559">
        <v>231</v>
      </c>
      <c r="H559" t="s">
        <v>1677</v>
      </c>
    </row>
    <row r="560" spans="5:8" x14ac:dyDescent="0.2">
      <c r="E560">
        <v>174</v>
      </c>
      <c r="F560">
        <v>0</v>
      </c>
      <c r="G560">
        <v>231</v>
      </c>
      <c r="H560" t="s">
        <v>1678</v>
      </c>
    </row>
    <row r="561" spans="5:8" x14ac:dyDescent="0.2">
      <c r="E561">
        <v>158</v>
      </c>
      <c r="F561">
        <v>125</v>
      </c>
      <c r="G561">
        <v>168</v>
      </c>
      <c r="H561" t="s">
        <v>1679</v>
      </c>
    </row>
    <row r="562" spans="5:8" x14ac:dyDescent="0.2">
      <c r="E562">
        <v>145</v>
      </c>
      <c r="F562">
        <v>74</v>
      </c>
      <c r="G562">
        <v>168</v>
      </c>
      <c r="H562" t="s">
        <v>1680</v>
      </c>
    </row>
    <row r="563" spans="5:8" x14ac:dyDescent="0.2">
      <c r="E563">
        <v>126</v>
      </c>
      <c r="F563">
        <v>0</v>
      </c>
      <c r="G563">
        <v>168</v>
      </c>
      <c r="H563" t="s">
        <v>1681</v>
      </c>
    </row>
    <row r="564" spans="5:8" x14ac:dyDescent="0.2">
      <c r="E564">
        <v>84</v>
      </c>
      <c r="F564">
        <v>66</v>
      </c>
      <c r="G564">
        <v>89</v>
      </c>
      <c r="H564" t="s">
        <v>1682</v>
      </c>
    </row>
    <row r="565" spans="5:8" x14ac:dyDescent="0.2">
      <c r="E565">
        <v>77</v>
      </c>
      <c r="F565">
        <v>39</v>
      </c>
      <c r="G565">
        <v>89</v>
      </c>
      <c r="H565" t="s">
        <v>1683</v>
      </c>
    </row>
    <row r="566" spans="5:8" x14ac:dyDescent="0.2">
      <c r="E566">
        <v>67</v>
      </c>
      <c r="F566">
        <v>0</v>
      </c>
      <c r="G566">
        <v>89</v>
      </c>
      <c r="H566" t="s">
        <v>1684</v>
      </c>
    </row>
    <row r="567" spans="5:8" x14ac:dyDescent="0.2">
      <c r="E567">
        <v>247</v>
      </c>
      <c r="F567">
        <v>194</v>
      </c>
      <c r="G567">
        <v>255</v>
      </c>
      <c r="H567" t="s">
        <v>1685</v>
      </c>
    </row>
    <row r="568" spans="5:8" x14ac:dyDescent="0.2">
      <c r="E568">
        <v>243</v>
      </c>
      <c r="F568">
        <v>158</v>
      </c>
      <c r="G568">
        <v>255</v>
      </c>
      <c r="H568" t="s">
        <v>1686</v>
      </c>
    </row>
    <row r="569" spans="5:8" x14ac:dyDescent="0.2">
      <c r="E569">
        <v>236</v>
      </c>
      <c r="F569">
        <v>101</v>
      </c>
      <c r="G569">
        <v>255</v>
      </c>
      <c r="H569" t="s">
        <v>1687</v>
      </c>
    </row>
    <row r="570" spans="5:8" x14ac:dyDescent="0.2">
      <c r="E570">
        <v>223</v>
      </c>
      <c r="F570">
        <v>0</v>
      </c>
      <c r="G570">
        <v>255</v>
      </c>
      <c r="H570" t="s">
        <v>1688</v>
      </c>
    </row>
    <row r="571" spans="5:8" x14ac:dyDescent="0.2">
      <c r="E571">
        <v>220</v>
      </c>
      <c r="F571">
        <v>139</v>
      </c>
      <c r="G571">
        <v>231</v>
      </c>
      <c r="H571" t="s">
        <v>1689</v>
      </c>
    </row>
    <row r="572" spans="5:8" x14ac:dyDescent="0.2">
      <c r="E572">
        <v>213</v>
      </c>
      <c r="F572">
        <v>81</v>
      </c>
      <c r="G572">
        <v>231</v>
      </c>
      <c r="H572" t="s">
        <v>1690</v>
      </c>
    </row>
    <row r="573" spans="5:8" x14ac:dyDescent="0.2">
      <c r="E573">
        <v>202</v>
      </c>
      <c r="F573">
        <v>0</v>
      </c>
      <c r="G573">
        <v>231</v>
      </c>
      <c r="H573" t="s">
        <v>1691</v>
      </c>
    </row>
    <row r="574" spans="5:8" x14ac:dyDescent="0.2">
      <c r="E574">
        <v>156</v>
      </c>
      <c r="F574">
        <v>74</v>
      </c>
      <c r="G574">
        <v>168</v>
      </c>
      <c r="H574" t="s">
        <v>1692</v>
      </c>
    </row>
    <row r="575" spans="5:8" x14ac:dyDescent="0.2">
      <c r="E575">
        <v>147</v>
      </c>
      <c r="F575">
        <v>0</v>
      </c>
      <c r="G575">
        <v>168</v>
      </c>
      <c r="H575" t="s">
        <v>1693</v>
      </c>
    </row>
    <row r="576" spans="5:8" x14ac:dyDescent="0.2">
      <c r="E576">
        <v>83</v>
      </c>
      <c r="F576">
        <v>39</v>
      </c>
      <c r="G576">
        <v>89</v>
      </c>
      <c r="H576" t="s">
        <v>1694</v>
      </c>
    </row>
    <row r="577" spans="5:8" x14ac:dyDescent="0.2">
      <c r="E577">
        <v>78</v>
      </c>
      <c r="F577">
        <v>0</v>
      </c>
      <c r="G577">
        <v>89</v>
      </c>
      <c r="H577" t="s">
        <v>1695</v>
      </c>
    </row>
    <row r="578" spans="5:8" x14ac:dyDescent="0.2">
      <c r="E578">
        <v>255</v>
      </c>
      <c r="F578">
        <v>246</v>
      </c>
      <c r="G578">
        <v>255</v>
      </c>
      <c r="H578" t="s">
        <v>1696</v>
      </c>
    </row>
    <row r="579" spans="5:8" x14ac:dyDescent="0.2">
      <c r="E579">
        <v>255</v>
      </c>
      <c r="F579">
        <v>226</v>
      </c>
      <c r="G579">
        <v>255</v>
      </c>
      <c r="H579" t="s">
        <v>1697</v>
      </c>
    </row>
    <row r="580" spans="5:8" x14ac:dyDescent="0.2">
      <c r="E580">
        <v>255</v>
      </c>
      <c r="F580">
        <v>194</v>
      </c>
      <c r="G580">
        <v>255</v>
      </c>
      <c r="H580" t="s">
        <v>1698</v>
      </c>
    </row>
    <row r="581" spans="5:8" x14ac:dyDescent="0.2">
      <c r="E581">
        <v>255</v>
      </c>
      <c r="F581">
        <v>158</v>
      </c>
      <c r="G581">
        <v>255</v>
      </c>
      <c r="H581" t="s">
        <v>1699</v>
      </c>
    </row>
    <row r="582" spans="5:8" x14ac:dyDescent="0.2">
      <c r="E582">
        <v>255</v>
      </c>
      <c r="F582">
        <v>101</v>
      </c>
      <c r="G582">
        <v>255</v>
      </c>
      <c r="H582" t="s">
        <v>1700</v>
      </c>
    </row>
    <row r="583" spans="5:8" x14ac:dyDescent="0.2">
      <c r="E583">
        <v>255</v>
      </c>
      <c r="F583">
        <v>0</v>
      </c>
      <c r="G583">
        <v>255</v>
      </c>
      <c r="H583" t="s">
        <v>1701</v>
      </c>
    </row>
    <row r="584" spans="5:8" x14ac:dyDescent="0.2">
      <c r="E584">
        <v>231</v>
      </c>
      <c r="F584">
        <v>218</v>
      </c>
      <c r="G584">
        <v>231</v>
      </c>
      <c r="H584" t="s">
        <v>1702</v>
      </c>
    </row>
    <row r="585" spans="5:8" x14ac:dyDescent="0.2">
      <c r="E585">
        <v>231</v>
      </c>
      <c r="F585">
        <v>184</v>
      </c>
      <c r="G585">
        <v>231</v>
      </c>
      <c r="H585" t="s">
        <v>1703</v>
      </c>
    </row>
    <row r="586" spans="5:8" x14ac:dyDescent="0.2">
      <c r="E586">
        <v>231</v>
      </c>
      <c r="F586">
        <v>139</v>
      </c>
      <c r="G586">
        <v>231</v>
      </c>
      <c r="H586" t="s">
        <v>1704</v>
      </c>
    </row>
    <row r="587" spans="5:8" x14ac:dyDescent="0.2">
      <c r="E587">
        <v>231</v>
      </c>
      <c r="F587">
        <v>81</v>
      </c>
      <c r="G587">
        <v>231</v>
      </c>
      <c r="H587" t="s">
        <v>1705</v>
      </c>
    </row>
    <row r="588" spans="5:8" x14ac:dyDescent="0.2">
      <c r="E588">
        <v>231</v>
      </c>
      <c r="F588">
        <v>0</v>
      </c>
      <c r="G588">
        <v>231</v>
      </c>
      <c r="H588" t="s">
        <v>1706</v>
      </c>
    </row>
    <row r="589" spans="5:8" x14ac:dyDescent="0.2">
      <c r="E589">
        <v>168</v>
      </c>
      <c r="F589">
        <v>156</v>
      </c>
      <c r="G589">
        <v>168</v>
      </c>
      <c r="H589" t="s">
        <v>1707</v>
      </c>
    </row>
    <row r="590" spans="5:8" x14ac:dyDescent="0.2">
      <c r="E590">
        <v>168</v>
      </c>
      <c r="F590">
        <v>125</v>
      </c>
      <c r="G590">
        <v>168</v>
      </c>
      <c r="H590" t="s">
        <v>1708</v>
      </c>
    </row>
    <row r="591" spans="5:8" x14ac:dyDescent="0.2">
      <c r="E591">
        <v>168</v>
      </c>
      <c r="F591">
        <v>74</v>
      </c>
      <c r="G591">
        <v>168</v>
      </c>
      <c r="H591" t="s">
        <v>1709</v>
      </c>
    </row>
    <row r="592" spans="5:8" x14ac:dyDescent="0.2">
      <c r="E592">
        <v>168</v>
      </c>
      <c r="F592">
        <v>0</v>
      </c>
      <c r="G592">
        <v>168</v>
      </c>
      <c r="H592" t="s">
        <v>1710</v>
      </c>
    </row>
    <row r="593" spans="5:8" x14ac:dyDescent="0.2">
      <c r="E593">
        <v>89</v>
      </c>
      <c r="F593">
        <v>83</v>
      </c>
      <c r="G593">
        <v>89</v>
      </c>
      <c r="H593" t="s">
        <v>1711</v>
      </c>
    </row>
    <row r="594" spans="5:8" x14ac:dyDescent="0.2">
      <c r="E594">
        <v>89</v>
      </c>
      <c r="F594">
        <v>66</v>
      </c>
      <c r="G594">
        <v>89</v>
      </c>
      <c r="H594" t="s">
        <v>1712</v>
      </c>
    </row>
    <row r="595" spans="5:8" x14ac:dyDescent="0.2">
      <c r="E595">
        <v>89</v>
      </c>
      <c r="F595">
        <v>39</v>
      </c>
      <c r="G595">
        <v>89</v>
      </c>
      <c r="H595" t="s">
        <v>1713</v>
      </c>
    </row>
    <row r="596" spans="5:8" x14ac:dyDescent="0.2">
      <c r="E596">
        <v>89</v>
      </c>
      <c r="F596">
        <v>0</v>
      </c>
      <c r="G596">
        <v>89</v>
      </c>
      <c r="H596" t="s">
        <v>1714</v>
      </c>
    </row>
    <row r="597" spans="5:8" x14ac:dyDescent="0.2">
      <c r="E597">
        <v>29</v>
      </c>
      <c r="F597">
        <v>26</v>
      </c>
      <c r="G597">
        <v>29</v>
      </c>
      <c r="H597" t="s">
        <v>1715</v>
      </c>
    </row>
    <row r="598" spans="5:8" x14ac:dyDescent="0.2">
      <c r="E598">
        <v>29</v>
      </c>
      <c r="F598">
        <v>17</v>
      </c>
      <c r="G598">
        <v>29</v>
      </c>
      <c r="H598" t="s">
        <v>1716</v>
      </c>
    </row>
    <row r="599" spans="5:8" x14ac:dyDescent="0.2">
      <c r="E599">
        <v>29</v>
      </c>
      <c r="F599">
        <v>0</v>
      </c>
      <c r="G599">
        <v>29</v>
      </c>
      <c r="H599" t="s">
        <v>1717</v>
      </c>
    </row>
    <row r="600" spans="5:8" x14ac:dyDescent="0.2">
      <c r="E600">
        <v>255</v>
      </c>
      <c r="F600">
        <v>194</v>
      </c>
      <c r="G600">
        <v>247</v>
      </c>
      <c r="H600" t="s">
        <v>1718</v>
      </c>
    </row>
    <row r="601" spans="5:8" x14ac:dyDescent="0.2">
      <c r="E601">
        <v>255</v>
      </c>
      <c r="F601">
        <v>158</v>
      </c>
      <c r="G601">
        <v>243</v>
      </c>
      <c r="H601" t="s">
        <v>1719</v>
      </c>
    </row>
    <row r="602" spans="5:8" x14ac:dyDescent="0.2">
      <c r="E602">
        <v>255</v>
      </c>
      <c r="F602">
        <v>101</v>
      </c>
      <c r="G602">
        <v>236</v>
      </c>
      <c r="H602" t="s">
        <v>1720</v>
      </c>
    </row>
    <row r="603" spans="5:8" x14ac:dyDescent="0.2">
      <c r="E603">
        <v>255</v>
      </c>
      <c r="F603">
        <v>0</v>
      </c>
      <c r="G603">
        <v>223</v>
      </c>
      <c r="H603" t="s">
        <v>1721</v>
      </c>
    </row>
    <row r="604" spans="5:8" x14ac:dyDescent="0.2">
      <c r="E604">
        <v>231</v>
      </c>
      <c r="F604">
        <v>139</v>
      </c>
      <c r="G604">
        <v>220</v>
      </c>
      <c r="H604" t="s">
        <v>1722</v>
      </c>
    </row>
    <row r="605" spans="5:8" x14ac:dyDescent="0.2">
      <c r="E605">
        <v>231</v>
      </c>
      <c r="F605">
        <v>81</v>
      </c>
      <c r="G605">
        <v>213</v>
      </c>
      <c r="H605" t="s">
        <v>1723</v>
      </c>
    </row>
    <row r="606" spans="5:8" x14ac:dyDescent="0.2">
      <c r="E606">
        <v>231</v>
      </c>
      <c r="F606">
        <v>0</v>
      </c>
      <c r="G606">
        <v>202</v>
      </c>
      <c r="H606" t="s">
        <v>1724</v>
      </c>
    </row>
    <row r="607" spans="5:8" x14ac:dyDescent="0.2">
      <c r="E607">
        <v>168</v>
      </c>
      <c r="F607">
        <v>74</v>
      </c>
      <c r="G607">
        <v>156</v>
      </c>
      <c r="H607" t="s">
        <v>1725</v>
      </c>
    </row>
    <row r="608" spans="5:8" x14ac:dyDescent="0.2">
      <c r="E608">
        <v>168</v>
      </c>
      <c r="F608">
        <v>0</v>
      </c>
      <c r="G608">
        <v>147</v>
      </c>
      <c r="H608" t="s">
        <v>1726</v>
      </c>
    </row>
    <row r="609" spans="5:8" x14ac:dyDescent="0.2">
      <c r="E609">
        <v>89</v>
      </c>
      <c r="F609">
        <v>39</v>
      </c>
      <c r="G609">
        <v>83</v>
      </c>
      <c r="H609" t="s">
        <v>1727</v>
      </c>
    </row>
    <row r="610" spans="5:8" x14ac:dyDescent="0.2">
      <c r="E610">
        <v>89</v>
      </c>
      <c r="F610">
        <v>0</v>
      </c>
      <c r="G610">
        <v>78</v>
      </c>
      <c r="H610" t="s">
        <v>1728</v>
      </c>
    </row>
    <row r="611" spans="5:8" x14ac:dyDescent="0.2">
      <c r="E611">
        <v>255</v>
      </c>
      <c r="F611">
        <v>226</v>
      </c>
      <c r="G611">
        <v>248</v>
      </c>
      <c r="H611" t="s">
        <v>1729</v>
      </c>
    </row>
    <row r="612" spans="5:8" x14ac:dyDescent="0.2">
      <c r="E612">
        <v>255</v>
      </c>
      <c r="F612">
        <v>194</v>
      </c>
      <c r="G612">
        <v>240</v>
      </c>
      <c r="H612" t="s">
        <v>1730</v>
      </c>
    </row>
    <row r="613" spans="5:8" x14ac:dyDescent="0.2">
      <c r="E613">
        <v>255</v>
      </c>
      <c r="F613">
        <v>158</v>
      </c>
      <c r="G613">
        <v>231</v>
      </c>
      <c r="H613" t="s">
        <v>1731</v>
      </c>
    </row>
    <row r="614" spans="5:8" x14ac:dyDescent="0.2">
      <c r="E614">
        <v>255</v>
      </c>
      <c r="F614">
        <v>101</v>
      </c>
      <c r="G614">
        <v>216</v>
      </c>
      <c r="H614" t="s">
        <v>1732</v>
      </c>
    </row>
    <row r="615" spans="5:8" x14ac:dyDescent="0.2">
      <c r="E615">
        <v>255</v>
      </c>
      <c r="F615">
        <v>0</v>
      </c>
      <c r="G615">
        <v>191</v>
      </c>
      <c r="H615" t="s">
        <v>1733</v>
      </c>
    </row>
    <row r="616" spans="5:8" x14ac:dyDescent="0.2">
      <c r="E616">
        <v>231</v>
      </c>
      <c r="F616">
        <v>184</v>
      </c>
      <c r="G616">
        <v>220</v>
      </c>
      <c r="H616" t="s">
        <v>1734</v>
      </c>
    </row>
    <row r="617" spans="5:8" x14ac:dyDescent="0.2">
      <c r="E617">
        <v>231</v>
      </c>
      <c r="F617">
        <v>139</v>
      </c>
      <c r="G617">
        <v>208</v>
      </c>
      <c r="H617" t="s">
        <v>1735</v>
      </c>
    </row>
    <row r="618" spans="5:8" x14ac:dyDescent="0.2">
      <c r="E618">
        <v>231</v>
      </c>
      <c r="F618">
        <v>81</v>
      </c>
      <c r="G618">
        <v>194</v>
      </c>
      <c r="H618" t="s">
        <v>1736</v>
      </c>
    </row>
    <row r="619" spans="5:8" x14ac:dyDescent="0.2">
      <c r="E619">
        <v>231</v>
      </c>
      <c r="F619">
        <v>0</v>
      </c>
      <c r="G619">
        <v>174</v>
      </c>
      <c r="H619" t="s">
        <v>1737</v>
      </c>
    </row>
    <row r="620" spans="5:8" x14ac:dyDescent="0.2">
      <c r="E620">
        <v>168</v>
      </c>
      <c r="F620">
        <v>125</v>
      </c>
      <c r="G620">
        <v>158</v>
      </c>
      <c r="H620" t="s">
        <v>1738</v>
      </c>
    </row>
    <row r="621" spans="5:8" x14ac:dyDescent="0.2">
      <c r="E621">
        <v>168</v>
      </c>
      <c r="F621">
        <v>74</v>
      </c>
      <c r="G621">
        <v>145</v>
      </c>
      <c r="H621" t="s">
        <v>1739</v>
      </c>
    </row>
    <row r="622" spans="5:8" x14ac:dyDescent="0.2">
      <c r="E622">
        <v>168</v>
      </c>
      <c r="F622">
        <v>0</v>
      </c>
      <c r="G622">
        <v>126</v>
      </c>
      <c r="H622" t="s">
        <v>1740</v>
      </c>
    </row>
    <row r="623" spans="5:8" x14ac:dyDescent="0.2">
      <c r="E623">
        <v>89</v>
      </c>
      <c r="F623">
        <v>66</v>
      </c>
      <c r="G623">
        <v>84</v>
      </c>
      <c r="H623" t="s">
        <v>1741</v>
      </c>
    </row>
    <row r="624" spans="5:8" x14ac:dyDescent="0.2">
      <c r="E624">
        <v>89</v>
      </c>
      <c r="F624">
        <v>39</v>
      </c>
      <c r="G624">
        <v>77</v>
      </c>
      <c r="H624" t="s">
        <v>1742</v>
      </c>
    </row>
    <row r="625" spans="5:8" x14ac:dyDescent="0.2">
      <c r="E625">
        <v>89</v>
      </c>
      <c r="F625">
        <v>0</v>
      </c>
      <c r="G625">
        <v>67</v>
      </c>
      <c r="H625" t="s">
        <v>1743</v>
      </c>
    </row>
    <row r="626" spans="5:8" x14ac:dyDescent="0.2">
      <c r="E626">
        <v>255</v>
      </c>
      <c r="F626">
        <v>194</v>
      </c>
      <c r="G626">
        <v>232</v>
      </c>
      <c r="H626" t="s">
        <v>1744</v>
      </c>
    </row>
    <row r="627" spans="5:8" x14ac:dyDescent="0.2">
      <c r="E627">
        <v>255</v>
      </c>
      <c r="F627">
        <v>158</v>
      </c>
      <c r="G627">
        <v>219</v>
      </c>
      <c r="H627" t="s">
        <v>1745</v>
      </c>
    </row>
    <row r="628" spans="5:8" x14ac:dyDescent="0.2">
      <c r="E628">
        <v>255</v>
      </c>
      <c r="F628">
        <v>101</v>
      </c>
      <c r="G628">
        <v>197</v>
      </c>
      <c r="H628" t="s">
        <v>1746</v>
      </c>
    </row>
    <row r="629" spans="5:8" x14ac:dyDescent="0.2">
      <c r="E629">
        <v>255</v>
      </c>
      <c r="F629">
        <v>0</v>
      </c>
      <c r="G629">
        <v>159</v>
      </c>
      <c r="H629" t="s">
        <v>1747</v>
      </c>
    </row>
    <row r="630" spans="5:8" x14ac:dyDescent="0.2">
      <c r="E630">
        <v>231</v>
      </c>
      <c r="F630">
        <v>139</v>
      </c>
      <c r="G630">
        <v>197</v>
      </c>
      <c r="H630" t="s">
        <v>1748</v>
      </c>
    </row>
    <row r="631" spans="5:8" x14ac:dyDescent="0.2">
      <c r="E631">
        <v>231</v>
      </c>
      <c r="F631">
        <v>81</v>
      </c>
      <c r="G631">
        <v>175</v>
      </c>
      <c r="H631" t="s">
        <v>1749</v>
      </c>
    </row>
    <row r="632" spans="5:8" x14ac:dyDescent="0.2">
      <c r="E632">
        <v>231</v>
      </c>
      <c r="F632">
        <v>0</v>
      </c>
      <c r="G632">
        <v>145</v>
      </c>
      <c r="H632" t="s">
        <v>1750</v>
      </c>
    </row>
    <row r="633" spans="5:8" x14ac:dyDescent="0.2">
      <c r="E633">
        <v>168</v>
      </c>
      <c r="F633">
        <v>74</v>
      </c>
      <c r="G633">
        <v>133</v>
      </c>
      <c r="H633" t="s">
        <v>1751</v>
      </c>
    </row>
    <row r="634" spans="5:8" x14ac:dyDescent="0.2">
      <c r="E634">
        <v>168</v>
      </c>
      <c r="F634">
        <v>0</v>
      </c>
      <c r="G634">
        <v>105</v>
      </c>
      <c r="H634" t="s">
        <v>1752</v>
      </c>
    </row>
    <row r="635" spans="5:8" x14ac:dyDescent="0.2">
      <c r="E635">
        <v>89</v>
      </c>
      <c r="F635">
        <v>39</v>
      </c>
      <c r="G635">
        <v>70</v>
      </c>
      <c r="H635" t="s">
        <v>1753</v>
      </c>
    </row>
    <row r="636" spans="5:8" x14ac:dyDescent="0.2">
      <c r="E636">
        <v>89</v>
      </c>
      <c r="F636">
        <v>0</v>
      </c>
      <c r="G636">
        <v>56</v>
      </c>
      <c r="H636" t="s">
        <v>1754</v>
      </c>
    </row>
    <row r="637" spans="5:8" x14ac:dyDescent="0.2">
      <c r="E637">
        <v>255</v>
      </c>
      <c r="F637">
        <v>226</v>
      </c>
      <c r="G637">
        <v>240</v>
      </c>
      <c r="H637" t="s">
        <v>1755</v>
      </c>
    </row>
    <row r="638" spans="5:8" x14ac:dyDescent="0.2">
      <c r="E638">
        <v>255</v>
      </c>
      <c r="F638">
        <v>194</v>
      </c>
      <c r="G638">
        <v>224</v>
      </c>
      <c r="H638" t="s">
        <v>1756</v>
      </c>
    </row>
    <row r="639" spans="5:8" x14ac:dyDescent="0.2">
      <c r="E639">
        <v>255</v>
      </c>
      <c r="F639">
        <v>158</v>
      </c>
      <c r="G639">
        <v>207</v>
      </c>
      <c r="H639" t="s">
        <v>1757</v>
      </c>
    </row>
    <row r="640" spans="5:8" x14ac:dyDescent="0.2">
      <c r="E640">
        <v>255</v>
      </c>
      <c r="F640">
        <v>101</v>
      </c>
      <c r="G640">
        <v>178</v>
      </c>
      <c r="H640" t="s">
        <v>1758</v>
      </c>
    </row>
    <row r="641" spans="5:8" x14ac:dyDescent="0.2">
      <c r="E641">
        <v>255</v>
      </c>
      <c r="F641">
        <v>0</v>
      </c>
      <c r="G641">
        <v>128</v>
      </c>
      <c r="H641" t="s">
        <v>1759</v>
      </c>
    </row>
    <row r="642" spans="5:8" x14ac:dyDescent="0.2">
      <c r="E642">
        <v>231</v>
      </c>
      <c r="F642">
        <v>184</v>
      </c>
      <c r="G642">
        <v>208</v>
      </c>
      <c r="H642" t="s">
        <v>1760</v>
      </c>
    </row>
    <row r="643" spans="5:8" x14ac:dyDescent="0.2">
      <c r="E643">
        <v>231</v>
      </c>
      <c r="F643">
        <v>139</v>
      </c>
      <c r="G643">
        <v>185</v>
      </c>
      <c r="H643" t="s">
        <v>1761</v>
      </c>
    </row>
    <row r="644" spans="5:8" x14ac:dyDescent="0.2">
      <c r="E644">
        <v>231</v>
      </c>
      <c r="F644">
        <v>81</v>
      </c>
      <c r="G644">
        <v>156</v>
      </c>
      <c r="H644" t="s">
        <v>1762</v>
      </c>
    </row>
    <row r="645" spans="5:8" x14ac:dyDescent="0.2">
      <c r="E645">
        <v>231</v>
      </c>
      <c r="F645">
        <v>0</v>
      </c>
      <c r="G645">
        <v>116</v>
      </c>
      <c r="H645" t="s">
        <v>1763</v>
      </c>
    </row>
    <row r="646" spans="5:8" x14ac:dyDescent="0.2">
      <c r="E646">
        <v>168</v>
      </c>
      <c r="F646">
        <v>125</v>
      </c>
      <c r="G646">
        <v>147</v>
      </c>
      <c r="H646" t="s">
        <v>1764</v>
      </c>
    </row>
    <row r="647" spans="5:8" x14ac:dyDescent="0.2">
      <c r="E647">
        <v>168</v>
      </c>
      <c r="F647">
        <v>74</v>
      </c>
      <c r="G647">
        <v>121</v>
      </c>
      <c r="H647" t="s">
        <v>1765</v>
      </c>
    </row>
    <row r="648" spans="5:8" x14ac:dyDescent="0.2">
      <c r="E648">
        <v>168</v>
      </c>
      <c r="F648">
        <v>0</v>
      </c>
      <c r="G648">
        <v>84</v>
      </c>
      <c r="H648" t="s">
        <v>1766</v>
      </c>
    </row>
    <row r="649" spans="5:8" x14ac:dyDescent="0.2">
      <c r="E649">
        <v>89</v>
      </c>
      <c r="F649">
        <v>66</v>
      </c>
      <c r="G649">
        <v>78</v>
      </c>
      <c r="H649" t="s">
        <v>1767</v>
      </c>
    </row>
    <row r="650" spans="5:8" x14ac:dyDescent="0.2">
      <c r="E650">
        <v>89</v>
      </c>
      <c r="F650">
        <v>39</v>
      </c>
      <c r="G650">
        <v>64</v>
      </c>
      <c r="H650" t="s">
        <v>1768</v>
      </c>
    </row>
    <row r="651" spans="5:8" x14ac:dyDescent="0.2">
      <c r="E651">
        <v>89</v>
      </c>
      <c r="F651">
        <v>0</v>
      </c>
      <c r="G651">
        <v>45</v>
      </c>
      <c r="H651" t="s">
        <v>1769</v>
      </c>
    </row>
    <row r="652" spans="5:8" x14ac:dyDescent="0.2">
      <c r="E652">
        <v>29</v>
      </c>
      <c r="F652">
        <v>17</v>
      </c>
      <c r="G652">
        <v>23</v>
      </c>
      <c r="H652" t="s">
        <v>1770</v>
      </c>
    </row>
    <row r="653" spans="5:8" x14ac:dyDescent="0.2">
      <c r="E653">
        <v>29</v>
      </c>
      <c r="F653">
        <v>0</v>
      </c>
      <c r="G653">
        <v>14</v>
      </c>
      <c r="H653" t="s">
        <v>1771</v>
      </c>
    </row>
    <row r="654" spans="5:8" x14ac:dyDescent="0.2">
      <c r="E654">
        <v>255</v>
      </c>
      <c r="F654">
        <v>194</v>
      </c>
      <c r="G654">
        <v>217</v>
      </c>
      <c r="H654" t="s">
        <v>1772</v>
      </c>
    </row>
    <row r="655" spans="5:8" x14ac:dyDescent="0.2">
      <c r="E655">
        <v>255</v>
      </c>
      <c r="F655">
        <v>158</v>
      </c>
      <c r="G655">
        <v>194</v>
      </c>
      <c r="H655" t="s">
        <v>1773</v>
      </c>
    </row>
    <row r="656" spans="5:8" x14ac:dyDescent="0.2">
      <c r="E656">
        <v>255</v>
      </c>
      <c r="F656">
        <v>101</v>
      </c>
      <c r="G656">
        <v>159</v>
      </c>
      <c r="H656" t="s">
        <v>1774</v>
      </c>
    </row>
    <row r="657" spans="5:8" x14ac:dyDescent="0.2">
      <c r="E657">
        <v>255</v>
      </c>
      <c r="F657">
        <v>0</v>
      </c>
      <c r="G657">
        <v>96</v>
      </c>
      <c r="H657" t="s">
        <v>1775</v>
      </c>
    </row>
    <row r="658" spans="5:8" x14ac:dyDescent="0.2">
      <c r="E658">
        <v>231</v>
      </c>
      <c r="F658">
        <v>139</v>
      </c>
      <c r="G658">
        <v>174</v>
      </c>
      <c r="H658" t="s">
        <v>1776</v>
      </c>
    </row>
    <row r="659" spans="5:8" x14ac:dyDescent="0.2">
      <c r="E659">
        <v>231</v>
      </c>
      <c r="F659">
        <v>81</v>
      </c>
      <c r="G659">
        <v>137</v>
      </c>
      <c r="H659" t="s">
        <v>1777</v>
      </c>
    </row>
    <row r="660" spans="5:8" x14ac:dyDescent="0.2">
      <c r="E660">
        <v>231</v>
      </c>
      <c r="F660">
        <v>0</v>
      </c>
      <c r="G660">
        <v>87</v>
      </c>
      <c r="H660" t="s">
        <v>1778</v>
      </c>
    </row>
    <row r="661" spans="5:8" x14ac:dyDescent="0.2">
      <c r="E661">
        <v>168</v>
      </c>
      <c r="F661">
        <v>74</v>
      </c>
      <c r="G661">
        <v>109</v>
      </c>
      <c r="H661" t="s">
        <v>1779</v>
      </c>
    </row>
    <row r="662" spans="5:8" x14ac:dyDescent="0.2">
      <c r="E662">
        <v>168</v>
      </c>
      <c r="F662">
        <v>0</v>
      </c>
      <c r="G662">
        <v>63</v>
      </c>
      <c r="H662" t="s">
        <v>1780</v>
      </c>
    </row>
    <row r="663" spans="5:8" x14ac:dyDescent="0.2">
      <c r="E663">
        <v>89</v>
      </c>
      <c r="F663">
        <v>39</v>
      </c>
      <c r="G663">
        <v>58</v>
      </c>
      <c r="H663" t="s">
        <v>1781</v>
      </c>
    </row>
    <row r="664" spans="5:8" x14ac:dyDescent="0.2">
      <c r="E664">
        <v>89</v>
      </c>
      <c r="F664">
        <v>0</v>
      </c>
      <c r="G664">
        <v>33</v>
      </c>
      <c r="H664" t="s">
        <v>1782</v>
      </c>
    </row>
    <row r="665" spans="5:8" x14ac:dyDescent="0.2">
      <c r="E665">
        <v>255</v>
      </c>
      <c r="F665">
        <v>226</v>
      </c>
      <c r="G665">
        <v>233</v>
      </c>
      <c r="H665" t="s">
        <v>1783</v>
      </c>
    </row>
    <row r="666" spans="5:8" x14ac:dyDescent="0.2">
      <c r="E666">
        <v>255</v>
      </c>
      <c r="F666">
        <v>194</v>
      </c>
      <c r="G666">
        <v>209</v>
      </c>
      <c r="H666" t="s">
        <v>1784</v>
      </c>
    </row>
    <row r="667" spans="5:8" x14ac:dyDescent="0.2">
      <c r="E667">
        <v>255</v>
      </c>
      <c r="F667">
        <v>158</v>
      </c>
      <c r="G667">
        <v>182</v>
      </c>
      <c r="H667" t="s">
        <v>1785</v>
      </c>
    </row>
    <row r="668" spans="5:8" x14ac:dyDescent="0.2">
      <c r="E668">
        <v>255</v>
      </c>
      <c r="F668">
        <v>101</v>
      </c>
      <c r="G668">
        <v>139</v>
      </c>
      <c r="H668" t="s">
        <v>1786</v>
      </c>
    </row>
    <row r="669" spans="5:8" x14ac:dyDescent="0.2">
      <c r="E669">
        <v>255</v>
      </c>
      <c r="F669">
        <v>0</v>
      </c>
      <c r="G669">
        <v>64</v>
      </c>
      <c r="H669" t="s">
        <v>1787</v>
      </c>
    </row>
    <row r="670" spans="5:8" x14ac:dyDescent="0.2">
      <c r="E670">
        <v>231</v>
      </c>
      <c r="F670">
        <v>184</v>
      </c>
      <c r="G670">
        <v>196</v>
      </c>
      <c r="H670" t="s">
        <v>1788</v>
      </c>
    </row>
    <row r="671" spans="5:8" x14ac:dyDescent="0.2">
      <c r="E671">
        <v>231</v>
      </c>
      <c r="F671">
        <v>139</v>
      </c>
      <c r="G671">
        <v>162</v>
      </c>
      <c r="H671" t="s">
        <v>1789</v>
      </c>
    </row>
    <row r="672" spans="5:8" x14ac:dyDescent="0.2">
      <c r="E672">
        <v>231</v>
      </c>
      <c r="F672">
        <v>81</v>
      </c>
      <c r="G672">
        <v>119</v>
      </c>
      <c r="H672" t="s">
        <v>1790</v>
      </c>
    </row>
    <row r="673" spans="5:8" x14ac:dyDescent="0.2">
      <c r="E673">
        <v>231</v>
      </c>
      <c r="F673">
        <v>0</v>
      </c>
      <c r="G673">
        <v>58</v>
      </c>
      <c r="H673" t="s">
        <v>1791</v>
      </c>
    </row>
    <row r="674" spans="5:8" x14ac:dyDescent="0.2">
      <c r="E674">
        <v>168</v>
      </c>
      <c r="F674">
        <v>125</v>
      </c>
      <c r="G674">
        <v>136</v>
      </c>
      <c r="H674" t="s">
        <v>1792</v>
      </c>
    </row>
    <row r="675" spans="5:8" x14ac:dyDescent="0.2">
      <c r="E675">
        <v>168</v>
      </c>
      <c r="F675">
        <v>74</v>
      </c>
      <c r="G675">
        <v>97</v>
      </c>
      <c r="H675" t="s">
        <v>1793</v>
      </c>
    </row>
    <row r="676" spans="5:8" x14ac:dyDescent="0.2">
      <c r="E676">
        <v>168</v>
      </c>
      <c r="F676">
        <v>0</v>
      </c>
      <c r="G676">
        <v>42</v>
      </c>
      <c r="H676" t="s">
        <v>1794</v>
      </c>
    </row>
    <row r="677" spans="5:8" x14ac:dyDescent="0.2">
      <c r="E677">
        <v>89</v>
      </c>
      <c r="F677">
        <v>66</v>
      </c>
      <c r="G677">
        <v>72</v>
      </c>
      <c r="H677" t="s">
        <v>1795</v>
      </c>
    </row>
    <row r="678" spans="5:8" x14ac:dyDescent="0.2">
      <c r="E678">
        <v>89</v>
      </c>
      <c r="F678">
        <v>39</v>
      </c>
      <c r="G678">
        <v>52</v>
      </c>
      <c r="H678" t="s">
        <v>1796</v>
      </c>
    </row>
    <row r="679" spans="5:8" x14ac:dyDescent="0.2">
      <c r="E679">
        <v>89</v>
      </c>
      <c r="F679">
        <v>0</v>
      </c>
      <c r="G679">
        <v>22</v>
      </c>
      <c r="H679" t="s">
        <v>1797</v>
      </c>
    </row>
    <row r="680" spans="5:8" x14ac:dyDescent="0.2">
      <c r="E680">
        <v>255</v>
      </c>
      <c r="F680">
        <v>194</v>
      </c>
      <c r="G680">
        <v>201</v>
      </c>
      <c r="H680" t="s">
        <v>1798</v>
      </c>
    </row>
    <row r="681" spans="5:8" x14ac:dyDescent="0.2">
      <c r="E681">
        <v>255</v>
      </c>
      <c r="F681">
        <v>158</v>
      </c>
      <c r="G681">
        <v>170</v>
      </c>
      <c r="H681" t="s">
        <v>1799</v>
      </c>
    </row>
    <row r="682" spans="5:8" x14ac:dyDescent="0.2">
      <c r="E682">
        <v>255</v>
      </c>
      <c r="F682">
        <v>101</v>
      </c>
      <c r="G682">
        <v>120</v>
      </c>
      <c r="H682" t="s">
        <v>1800</v>
      </c>
    </row>
    <row r="683" spans="5:8" x14ac:dyDescent="0.2">
      <c r="E683">
        <v>255</v>
      </c>
      <c r="F683">
        <v>0</v>
      </c>
      <c r="G683">
        <v>32</v>
      </c>
      <c r="H683" t="s">
        <v>1801</v>
      </c>
    </row>
    <row r="684" spans="5:8" x14ac:dyDescent="0.2">
      <c r="E684">
        <v>231</v>
      </c>
      <c r="F684">
        <v>139</v>
      </c>
      <c r="G684">
        <v>150</v>
      </c>
      <c r="H684" t="s">
        <v>1802</v>
      </c>
    </row>
    <row r="685" spans="5:8" x14ac:dyDescent="0.2">
      <c r="E685">
        <v>231</v>
      </c>
      <c r="F685">
        <v>81</v>
      </c>
      <c r="G685">
        <v>100</v>
      </c>
      <c r="H685" t="s">
        <v>1803</v>
      </c>
    </row>
    <row r="686" spans="5:8" x14ac:dyDescent="0.2">
      <c r="E686">
        <v>231</v>
      </c>
      <c r="F686">
        <v>0</v>
      </c>
      <c r="G686">
        <v>29</v>
      </c>
      <c r="H686" t="s">
        <v>1804</v>
      </c>
    </row>
    <row r="687" spans="5:8" x14ac:dyDescent="0.2">
      <c r="E687">
        <v>168</v>
      </c>
      <c r="F687">
        <v>74</v>
      </c>
      <c r="G687">
        <v>85</v>
      </c>
      <c r="H687" t="s">
        <v>1805</v>
      </c>
    </row>
    <row r="688" spans="5:8" x14ac:dyDescent="0.2">
      <c r="E688">
        <v>168</v>
      </c>
      <c r="F688">
        <v>0</v>
      </c>
      <c r="G688">
        <v>21</v>
      </c>
      <c r="H688" t="s">
        <v>1806</v>
      </c>
    </row>
    <row r="689" spans="5:8" x14ac:dyDescent="0.2">
      <c r="E689">
        <v>89</v>
      </c>
      <c r="F689">
        <v>39</v>
      </c>
      <c r="G689">
        <v>45</v>
      </c>
      <c r="H689" t="s">
        <v>1807</v>
      </c>
    </row>
    <row r="690" spans="5:8" x14ac:dyDescent="0.2">
      <c r="E690">
        <v>89</v>
      </c>
      <c r="F690">
        <v>0</v>
      </c>
      <c r="G690">
        <v>11</v>
      </c>
      <c r="H690" t="s">
        <v>1808</v>
      </c>
    </row>
  </sheetData>
  <phoneticPr fontId="1" type="noConversion"/>
  <hyperlinks>
    <hyperlink ref="A1" r:id="rId1" display="http://www.procato.com/rgb+index/" xr:uid="{F5CB971F-03FF-2941-AB8E-0A51D2510FD0}"/>
  </hyperlinks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A906D-5B42-BA47-A5A9-52C9E0FF95E7}">
  <sheetPr codeName="Sheet4"/>
  <dimension ref="A4:K29"/>
  <sheetViews>
    <sheetView workbookViewId="0">
      <selection activeCell="H10" sqref="H10"/>
    </sheetView>
  </sheetViews>
  <sheetFormatPr baseColWidth="10" defaultRowHeight="15" x14ac:dyDescent="0.2"/>
  <cols>
    <col min="6" max="6" width="17.1640625" customWidth="1"/>
    <col min="7" max="7" width="19" customWidth="1"/>
    <col min="8" max="8" width="18" customWidth="1"/>
    <col min="9" max="9" width="15.6640625" customWidth="1"/>
    <col min="10" max="10" width="21.6640625" customWidth="1"/>
  </cols>
  <sheetData>
    <row r="4" spans="1:11" x14ac:dyDescent="0.2">
      <c r="A4" s="14" t="s">
        <v>1835</v>
      </c>
      <c r="G4" s="14" t="s">
        <v>2229</v>
      </c>
      <c r="H4" s="14" t="s">
        <v>2230</v>
      </c>
      <c r="I4" s="14" t="s">
        <v>2231</v>
      </c>
      <c r="J4" s="14" t="s">
        <v>2232</v>
      </c>
      <c r="K4" s="14" t="s">
        <v>2233</v>
      </c>
    </row>
    <row r="5" spans="1:11" x14ac:dyDescent="0.2">
      <c r="A5" t="s">
        <v>1831</v>
      </c>
      <c r="F5" s="14" t="s">
        <v>2234</v>
      </c>
      <c r="G5" t="s">
        <v>2236</v>
      </c>
      <c r="H5" t="s">
        <v>2236</v>
      </c>
      <c r="I5" t="s">
        <v>2238</v>
      </c>
      <c r="K5" t="s">
        <v>2243</v>
      </c>
    </row>
    <row r="6" spans="1:11" x14ac:dyDescent="0.2">
      <c r="A6" t="s">
        <v>1856</v>
      </c>
      <c r="F6" s="14" t="s">
        <v>2244</v>
      </c>
      <c r="G6" t="s">
        <v>2246</v>
      </c>
      <c r="K6" t="s">
        <v>2242</v>
      </c>
    </row>
    <row r="7" spans="1:11" x14ac:dyDescent="0.2">
      <c r="A7" t="s">
        <v>1859</v>
      </c>
      <c r="F7" s="14" t="s">
        <v>2235</v>
      </c>
      <c r="G7" t="s">
        <v>2237</v>
      </c>
      <c r="H7" t="s">
        <v>2237</v>
      </c>
      <c r="I7" t="s">
        <v>2241</v>
      </c>
      <c r="K7" t="s">
        <v>2245</v>
      </c>
    </row>
    <row r="8" spans="1:11" x14ac:dyDescent="0.2">
      <c r="A8" t="s">
        <v>1861</v>
      </c>
    </row>
    <row r="9" spans="1:11" x14ac:dyDescent="0.2">
      <c r="A9" t="s">
        <v>1864</v>
      </c>
      <c r="J9" t="s">
        <v>2239</v>
      </c>
    </row>
    <row r="10" spans="1:11" x14ac:dyDescent="0.2">
      <c r="J10" t="s">
        <v>2240</v>
      </c>
    </row>
    <row r="11" spans="1:11" x14ac:dyDescent="0.2">
      <c r="A11" s="14" t="s">
        <v>1829</v>
      </c>
    </row>
    <row r="12" spans="1:11" x14ac:dyDescent="0.2">
      <c r="A12" t="s">
        <v>1857</v>
      </c>
    </row>
    <row r="13" spans="1:11" x14ac:dyDescent="0.2">
      <c r="A13" t="s">
        <v>1858</v>
      </c>
    </row>
    <row r="14" spans="1:11" x14ac:dyDescent="0.2">
      <c r="A14" t="s">
        <v>1860</v>
      </c>
    </row>
    <row r="16" spans="1:11" x14ac:dyDescent="0.2">
      <c r="A16" s="14" t="s">
        <v>1873</v>
      </c>
    </row>
    <row r="17" spans="1:1" x14ac:dyDescent="0.2">
      <c r="A17" t="s">
        <v>1874</v>
      </c>
    </row>
    <row r="24" spans="1:1" x14ac:dyDescent="0.2">
      <c r="A24" s="14" t="s">
        <v>1854</v>
      </c>
    </row>
    <row r="28" spans="1:1" x14ac:dyDescent="0.2">
      <c r="A28" t="s">
        <v>1862</v>
      </c>
    </row>
    <row r="29" spans="1:1" x14ac:dyDescent="0.2">
      <c r="A29" t="s">
        <v>1863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5207E-90D3-494B-BD91-54AF41CB1E14}">
  <sheetPr codeName="Sheet5"/>
  <dimension ref="A1"/>
  <sheetViews>
    <sheetView workbookViewId="0">
      <selection activeCell="O14" sqref="O14"/>
    </sheetView>
  </sheetViews>
  <sheetFormatPr baseColWidth="10" defaultRowHeight="1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Data</vt:lpstr>
      <vt:lpstr>HSL categorization</vt:lpstr>
      <vt:lpstr>Sheet2</vt:lpstr>
      <vt:lpstr>Lips</vt:lpstr>
      <vt:lpstr>Eyes</vt:lpstr>
      <vt:lpstr>Sheet2!Color_chart_by_hue</vt:lpstr>
    </vt:vector>
  </TitlesOfParts>
  <Company>Sephora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tikhonova kiunnei</dc:creator>
  <cp:lastModifiedBy>Microsoft Office User</cp:lastModifiedBy>
  <dcterms:created xsi:type="dcterms:W3CDTF">2019-11-12T06:50:17Z</dcterms:created>
  <dcterms:modified xsi:type="dcterms:W3CDTF">2019-11-27T14:44:21Z</dcterms:modified>
</cp:coreProperties>
</file>